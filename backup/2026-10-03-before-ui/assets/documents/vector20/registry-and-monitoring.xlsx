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5c1e7f8d7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анель" sheetId="1" r:id="R46a7a4c55aa54f9f"/>
    <x:sheet xmlns:r="http://schemas.openxmlformats.org/officeDocument/2006/relationships" name="Сигналы" sheetId="2" r:id="Rf1beb39a2a8a4bd7"/>
    <x:sheet xmlns:r="http://schemas.openxmlformats.org/officeDocument/2006/relationships" name="Маршруты" sheetId="3" r:id="R7ce24b0b04e143ec"/>
    <x:sheet xmlns:r="http://schemas.openxmlformats.org/officeDocument/2006/relationships" name="Контрольные точки" sheetId="4" r:id="R6670d3d1f4b543e6"/>
    <x:sheet xmlns:r="http://schemas.openxmlformats.org/officeDocument/2006/relationships" name="Пробы" sheetId="5" r:id="R14d4b75cf47841eb"/>
    <x:sheet xmlns:r="http://schemas.openxmlformats.org/officeDocument/2006/relationships" name="Возможности" sheetId="6" r:id="Rd5ef4d34ca3d4f30"/>
    <x:sheet xmlns:r="http://schemas.openxmlformats.org/officeDocument/2006/relationships" name="Наставники" sheetId="7" r:id="R9e59032fe3fe4d58"/>
    <x:sheet xmlns:r="http://schemas.openxmlformats.org/officeDocument/2006/relationships" name="Результаты" sheetId="8" r:id="R68e3f07486b54cdd"/>
    <x:sheet xmlns:r="http://schemas.openxmlformats.org/officeDocument/2006/relationships" name="Справочники" sheetId="9" r:id="Re059e800f2fe47f0"/>
    <x:sheet xmlns:r="http://schemas.openxmlformats.org/officeDocument/2006/relationships" name="Инструкция" sheetId="10" r:id="Rb5701a68ca52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0%"/>
    <x:numFmt numFmtId="202" formatCode="0.0"/>
  </x:numFmts>
  <x:fonts count="7">
    <x:font>
      <x:sz val="11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sz val="10"/>
      <x:name val="Carlito"/>
    </x:font>
    <x:font>
      <x:sz val="10"/>
      <x:color rgb="FF1F1F1F"/>
      <x:name val="Carlito"/>
    </x:font>
    <x:font>
      <x:b/>
      <x:sz val="10"/>
      <x:color rgb="FF1F1F1F"/>
      <x:name val="Carlito"/>
    </x:font>
    <x:font>
      <x:b/>
      <x:sz val="18"/>
      <x:color rgb="FF1F4E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DEDEA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left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left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201" fontId="6" fillId="5" borderId="0" xfId="0" applyNumberFormat="1" applyFont="1" applyFill="1" applyBorder="1" applyAlignment="1">
      <x:alignment horizontal="center" vertical="center"/>
    </x:xf>
    <x:xf numFmtId="201" fontId="6" fillId="5" borderId="1" xfId="0" applyNumberFormat="1" applyFont="1" applyFill="1" applyBorder="1" applyAlignment="1">
      <x:alignment horizontal="center" vertical="center"/>
    </x:xf>
    <x:xf numFmtId="202" fontId="6" fillId="5" borderId="0" xfId="0" applyNumberFormat="1" applyFont="1" applyFill="1" applyBorder="1" applyAlignment="1">
      <x:alignment horizontal="center" vertical="center"/>
    </x:xf>
    <x:xf numFmtId="202" fontId="6" fillId="5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left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2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391125e6ab4264" /><Relationship Type="http://schemas.openxmlformats.org/officeDocument/2006/relationships/theme" Target="/xl/theme/theme1.xml" Id="Rc88acad34e084778" /><Relationship Type="http://schemas.openxmlformats.org/officeDocument/2006/relationships/sharedStrings" Target="/xl/sharedStrings.xml" Id="R97d80567feaa44f6" /><Relationship Type="http://schemas.openxmlformats.org/officeDocument/2006/relationships/worksheet" Target="/xl/worksheets/sheet1.xml" Id="R46a7a4c55aa54f9f" /><Relationship Type="http://schemas.openxmlformats.org/officeDocument/2006/relationships/worksheet" Target="/xl/worksheets/sheet2.xml" Id="Rf1beb39a2a8a4bd7" /><Relationship Type="http://schemas.openxmlformats.org/officeDocument/2006/relationships/worksheet" Target="/xl/worksheets/sheet3.xml" Id="R7ce24b0b04e143ec" /><Relationship Type="http://schemas.openxmlformats.org/officeDocument/2006/relationships/worksheet" Target="/xl/worksheets/sheet4.xml" Id="R6670d3d1f4b543e6" /><Relationship Type="http://schemas.openxmlformats.org/officeDocument/2006/relationships/worksheet" Target="/xl/worksheets/sheet5.xml" Id="R14d4b75cf47841eb" /><Relationship Type="http://schemas.openxmlformats.org/officeDocument/2006/relationships/worksheet" Target="/xl/worksheets/sheet6.xml" Id="Rd5ef4d34ca3d4f30" /><Relationship Type="http://schemas.openxmlformats.org/officeDocument/2006/relationships/worksheet" Target="/xl/worksheets/sheet7.xml" Id="R9e59032fe3fe4d58" /><Relationship Type="http://schemas.openxmlformats.org/officeDocument/2006/relationships/worksheet" Target="/xl/worksheets/sheet8.xml" Id="R68e3f07486b54cdd" /><Relationship Type="http://schemas.openxmlformats.org/officeDocument/2006/relationships/worksheet" Target="/xl/worksheets/sheet9.xml" Id="Re059e800f2fe47f0" /><Relationship Type="http://schemas.openxmlformats.org/officeDocument/2006/relationships/worksheet" Target="/xl/worksheets/sheet10.xml" Id="Rb5701a68ca5244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3f2381934594c86" /><Relationship Type="http://schemas.openxmlformats.org/officeDocument/2006/relationships/chart" Target="/xl/drawings/charts/chart2.xml" Id="Rd8110c05117a47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Статусы маршрутов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Количество</c:v>
          </c:tx>
          <c:cat>
            <c:strRef>
              <c:f>'Панель'!$A$15:$A$20</c:f>
              <c:strCache>
                <c:ptCount val="0"/>
              </c:strCache>
            </c:strRef>
          </c:cat>
          <c:val>
            <c:numRef>
              <c:f>'Панель'!$B$15:$B$20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Активные маршруты по направлениям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cat>
            <c:strRef>
              <c:f>'Панель'!$D$15:$D$19</c:f>
              <c:strCache>
                <c:ptCount val="0"/>
              </c:strCache>
            </c:strRef>
          </c:cat>
          <c:val>
            <c:numRef>
              <c:f>'Панель'!$E$15:$E$19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28</xdr:row>
      <xdr:rowOff>0</xdr:rowOff>
    </xdr:from>
    <xdr:to>
      <xdr:col>5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f2381934594c86"/>
        </a:graphicData>
      </a:graphic>
    </xdr:graphicFrame>
    <xdr:clientData/>
  </xdr:twoCellAnchor>
  <xdr:twoCellAnchor>
    <xdr:from>
      <xdr:col>5</xdr:col>
      <xdr:colOff>0</xdr:colOff>
      <xdr:row>28</xdr:row>
      <xdr:rowOff>0</xdr:rowOff>
    </xdr:from>
    <xdr:to>
      <xdr:col>10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110c05117a47f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ignalsTable" displayName="SignalsTable" ref="A2:P502" headerRowCount="1">
  <x:tableColumns count="16">
    <x:tableColumn id="1" name="ID сигнала"/>
    <x:tableColumn id="2" name="Дата"/>
    <x:tableColumn id="3" name="ID ученика"/>
    <x:tableColumn id="4" name="Ф.И.О."/>
    <x:tableColumn id="5" name="Класс"/>
    <x:tableColumn id="6" name="Источник"/>
    <x:tableColumn id="7" name="Инициатор"/>
    <x:tableColumn id="8" name="Направление"/>
    <x:tableColumn id="9" name="Наблюдаемый факт / идея"/>
    <x:tableColumn id="10" name="Статус"/>
    <x:tableColumn id="11" name="Профиль создан"/>
    <x:tableColumn id="12" name="Следующий шаг"/>
    <x:tableColumn id="13" name="Ответственный"/>
    <x:tableColumn id="14" name="Дата пересмотра"/>
    <x:tableColumn id="15" name="Ссылка / примечание"/>
    <x:tableColumn id="16" name="Дней в работе"/>
  </x:tableColumns>
  <x:tableStyleInfo name="TableStyleMedium2" showRowStripes="1"/>
</x:table>
</file>

<file path=xl/tables/table2.xml><?xml version="1.0" encoding="utf-8"?>
<x:table xmlns:x="http://schemas.openxmlformats.org/spreadsheetml/2006/main" id="2" name="RoutesTable" displayName="RoutesTable" ref="A2:U302" headerRowCount="1">
  <x:tableColumns count="21">
    <x:tableColumn id="1" name="ID маршрута"/>
    <x:tableColumn id="2" name="ID ученика"/>
    <x:tableColumn id="3" name="Ф.И.О."/>
    <x:tableColumn id="4" name="Класс"/>
    <x:tableColumn id="5" name="Направление"/>
    <x:tableColumn id="6" name="Уровень"/>
    <x:tableColumn id="7" name="Цель развития"/>
    <x:tableColumn id="8" name="Продукт / аудитория"/>
    <x:tableColumn id="9" name="Наставник"/>
    <x:tableColumn id="10" name="Дата старта"/>
    <x:tableColumn id="11" name="Статус"/>
    <x:tableColumn id="12" name="Плановая дата завершения"/>
    <x:tableColumn id="13" name="Фактическая дата завершения"/>
    <x:tableColumn id="14" name="Прогресс, %"/>
    <x:tableColumn id="15" name="Последняя контрольная точка"/>
    <x:tableColumn id="16" name="Следующая контрольная точка"/>
    <x:tableColumn id="17" name="Нагрузка, ч/нед"/>
    <x:tableColumn id="18" name="Декларация ИИ"/>
    <x:tableColumn id="19" name="Публикация согласована"/>
    <x:tableColumn id="20" name="Ссылка / примечание"/>
    <x:tableColumn id="21" name="Дней до/после точки"/>
  </x:tableColumns>
  <x:tableStyleInfo name="TableStyleMedium2" showRowStripes="1"/>
</x:table>
</file>

<file path=xl/tables/table3.xml><?xml version="1.0" encoding="utf-8"?>
<x:table xmlns:x="http://schemas.openxmlformats.org/spreadsheetml/2006/main" id="3" name="CheckpointsTable" displayName="CheckpointsTable" ref="A2:L602" headerRowCount="1">
  <x:tableColumns count="12">
    <x:tableColumn id="1" name="ID точки"/>
    <x:tableColumn id="2" name="ID маршрута"/>
    <x:tableColumn id="3" name="Дата встречи"/>
    <x:tableColumn id="4" name="Что планировалось"/>
    <x:tableColumn id="5" name="Что сделано / показано"/>
    <x:tableColumn id="6" name="Решение и использованная помощь"/>
    <x:tableColumn id="7" name="Следующий шаг"/>
    <x:tableColumn id="8" name="Срок следующего шага"/>
    <x:tableColumn id="9" name="Нагрузка"/>
    <x:tableColumn id="10" name="Статус"/>
    <x:tableColumn id="11" name="Ссылка / примечание"/>
    <x:tableColumn id="12" name="Дней до/после срока"/>
  </x:tableColumns>
  <x:tableStyleInfo name="TableStyleMedium2" showRowStripes="1"/>
</x:table>
</file>

<file path=xl/tables/table4.xml><?xml version="1.0" encoding="utf-8"?>
<x:table xmlns:x="http://schemas.openxmlformats.org/spreadsheetml/2006/main" id="4" name="ProbesTable" displayName="ProbesTable" ref="A2:P202" headerRowCount="1">
  <x:tableColumns count="16">
    <x:tableColumn id="1" name="ID пробы"/>
    <x:tableColumn id="2" name="Название"/>
    <x:tableColumn id="3" name="МО / предметная область"/>
    <x:tableColumn id="4" name="Класс / возраст"/>
    <x:tableColumn id="5" name="Направление"/>
    <x:tableColumn id="6" name="Дата"/>
    <x:tableColumn id="7" name="Статус"/>
    <x:tableColumn id="8" name="Ответственный"/>
    <x:tableColumn id="9" name="План участников"/>
    <x:tableColumn id="10" name="Факт участников"/>
    <x:tableColumn id="11" name="Сигналов"/>
    <x:tableColumn id="12" name="Профилей"/>
    <x:tableColumn id="13" name="Маршрутов"/>
    <x:tableColumn id="14" name="Сигналы / участники"/>
    <x:tableColumn id="15" name="Маршруты / сигналы"/>
    <x:tableColumn id="16" name="Ссылка / примечание"/>
  </x:tableColumns>
  <x:tableStyleInfo name="TableStyleMedium2" showRowStripes="1"/>
</x:table>
</file>

<file path=xl/tables/table5.xml><?xml version="1.0" encoding="utf-8"?>
<x:table xmlns:x="http://schemas.openxmlformats.org/spreadsheetml/2006/main" id="5" name="OpportunitiesTable" displayName="OpportunitiesTable" ref="A2:Y202" headerRowCount="1">
  <x:tableColumns count="25">
    <x:tableColumn id="1" name="ID"/>
    <x:tableColumn id="2" name="Название"/>
    <x:tableColumn id="3" name="Организатор"/>
    <x:tableColumn id="4" name="Тип"/>
    <x:tableColumn id="5" name="Направление"/>
    <x:tableColumn id="6" name="Приоритет"/>
    <x:tableColumn id="7" name="Возраст / класс"/>
    <x:tableColumn id="8" name="Дедлайн"/>
    <x:tableColumn id="9" name="Формат / место"/>
    <x:tableColumn id="10" name="Стоимость / расходы"/>
    <x:tableColumn id="11" name="1. Соответствие"/>
    <x:tableColumn id="12" name="2. Организатор"/>
    <x:tableColumn id="13" name="3. Ценность"/>
    <x:tableColumn id="14" name="4. Правила"/>
    <x:tableColumn id="15" name="5. Нагрузка"/>
    <x:tableColumn id="16" name="6. Безопасность / данные"/>
    <x:tableColumn id="17" name="7. Доступность"/>
    <x:tableColumn id="18" name="8. Следующий шаг"/>
    <x:tableColumn id="19" name="Сумма"/>
    <x:tableColumn id="20" name="Категория"/>
    <x:tableColumn id="21" name="Решение"/>
    <x:tableColumn id="22" name="Ответственный"/>
    <x:tableColumn id="23" name="Статус"/>
    <x:tableColumn id="24" name="Официальный источник"/>
    <x:tableColumn id="25" name="Итог / отзыв"/>
  </x:tableColumns>
  <x:tableStyleInfo name="TableStyleMedium2" showRowStripes="1"/>
</x:table>
</file>

<file path=xl/tables/table6.xml><?xml version="1.0" encoding="utf-8"?>
<x:table xmlns:x="http://schemas.openxmlformats.org/spreadsheetml/2006/main" id="6" name="MentorsTable" displayName="MentorsTable" ref="A2:L102" headerRowCount="1">
  <x:tableColumns count="12">
    <x:tableColumn id="1" name="ID"/>
    <x:tableColumn id="2" name="Ф.И.О."/>
    <x:tableColumn id="3" name="Роль"/>
    <x:tableColumn id="4" name="Предметная / профессиональная область"/>
    <x:tableColumn id="5" name="Лимит маршрутов"/>
    <x:tableColumn id="6" name="Активных маршрутов"/>
    <x:tableColumn id="7" name="Статус нагрузки"/>
    <x:tableColumn id="8" name="Доступные форматы"/>
    <x:tableColumn id="9" name="Дни / время"/>
    <x:tableColumn id="10" name="Внутренний контакт"/>
    <x:tableColumn id="11" name="Внешние компетенции / партнёры"/>
    <x:tableColumn id="12" name="Примечание"/>
  </x:tableColumns>
  <x:tableStyleInfo name="TableStyleMedium2" showRowStripes="1"/>
</x:table>
</file>

<file path=xl/tables/table7.xml><?xml version="1.0" encoding="utf-8"?>
<x:table xmlns:x="http://schemas.openxmlformats.org/spreadsheetml/2006/main" id="7" name="ResultsTable" displayName="ResultsTable" ref="A2:Q302" headerRowCount="1">
  <x:tableColumns count="17">
    <x:tableColumn id="1" name="ID результата"/>
    <x:tableColumn id="2" name="ID маршрута"/>
    <x:tableColumn id="3" name="Ф.И.О."/>
    <x:tableColumn id="4" name="Класс"/>
    <x:tableColumn id="5" name="Продукт / название"/>
    <x:tableColumn id="6" name="Направление"/>
    <x:tableColumn id="7" name="Формат представления"/>
    <x:tableColumn id="8" name="Дата"/>
    <x:tableColumn id="9" name="Внешнее событие"/>
    <x:tableColumn id="10" name="Уровень"/>
    <x:tableColumn id="11" name="Результат / статус"/>
    <x:tableColumn id="12" name="Экспертная оценка 0–24"/>
    <x:tableColumn id="13" name="Самостоятельность 0–3"/>
    <x:tableColumn id="14" name="Завершение маршрута"/>
    <x:tableColumn id="15" name="Следующий шаг"/>
    <x:tableColumn id="16" name="Ссылка / публикация"/>
    <x:tableColumn id="17" name="Примеча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c2e5b346ea747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d2d35bd4bb42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ed7487da6044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830eed5ccd4f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25e06c618349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55eb5da41e40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dbc280fb4546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1c9f7ae28b4d7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" hidden="0" customWidth="1"/>
    <x:col min="4" max="4" width="30" hidden="0" customWidth="1"/>
    <x:col min="5" max="5" width="14" hidden="0" customWidth="1"/>
    <x:col min="6" max="6" width="3" hidden="0" customWidth="1"/>
    <x:col min="7" max="7" width="30" hidden="0" customWidth="1"/>
    <x:col min="8" max="8" width="14" hidden="0" customWidth="1"/>
    <x:col min="9" max="9" width="3" hidden="0" customWidth="1"/>
    <x:col min="10" max="10" width="3" hidden="0" customWidth="1"/>
  </x:cols>
  <x:sheetData>
    <x:row r="1" ht="30" customHeight="1">
      <x:c r="A1" s="16" t="str">
        <x:v>ВЕКТОР 20 — ПАНЕЛЬ МОНИТОРИНГА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2">
      <x:c r="A2" s="33" t="str">
        <x:v>Показатели формируются из единых реестров. Нулевые значения до начала заполнения являются нормальными.</x:v>
      </x:c>
      <x:c r="B2" s="33"/>
      <x:c r="C2" s="33"/>
      <x:c r="D2" s="33"/>
      <x:c r="E2" s="33"/>
      <x:c r="F2" s="33"/>
      <x:c r="G2" s="33"/>
      <x:c r="H2" s="33"/>
      <x:c r="I2" s="33"/>
      <x:c r="J2" s="33"/>
    </x:row>
    <x:row r="4" ht="32" customHeight="1">
      <x:c r="A4" s="6" t="str">
        <x:v>Вход и маршруты</x:v>
      </x:c>
      <x:c r="B4" s="6" t="str">
        <x:v>Значение</x:v>
      </x:c>
      <x:c r="D4" s="6" t="str">
        <x:v>Пробы и возможности</x:v>
      </x:c>
      <x:c r="E4" s="6" t="str">
        <x:v>Значение</x:v>
      </x:c>
      <x:c r="G4" s="6" t="str">
        <x:v>Продукты и качество</x:v>
      </x:c>
      <x:c r="H4" s="6" t="str">
        <x:v>Значение</x:v>
      </x:c>
    </x:row>
    <x:row r="5">
      <x:c r="A5" s="42" t="str">
        <x:v>Всего сигналов</x:v>
      </x:c>
      <x:c r="B5" s="51" t="n">
        <x:f>COUNTIF('Сигналы'!$D$3:$D$502,"&lt;&gt;")</x:f>
        <x:v>0</x:v>
      </x:c>
      <x:c r="D5" s="42" t="str">
        <x:v>Проведено проб</x:v>
      </x:c>
      <x:c r="E5" s="51" t="n">
        <x:f>COUNTIF('Пробы'!$B$3:$B$202,"&lt;&gt;")</x:f>
        <x:v>0</x:v>
      </x:c>
      <x:c r="G5" s="42" t="str">
        <x:v>Зарегистрировано результатов</x:v>
      </x:c>
      <x:c r="H5" s="51" t="n">
        <x:f>COUNTIF('Результаты'!$E$3:$E$302,"&lt;&gt;")</x:f>
        <x:v>0</x:v>
      </x:c>
    </x:row>
    <x:row r="6">
      <x:c r="A6" s="42" t="str">
        <x:v>Подтверждённых сигналов</x:v>
      </x:c>
      <x:c r="B6" s="51" t="n">
        <x:f>COUNTIF('Сигналы'!$J$3:$J$502,"Подтверждён")</x:f>
        <x:v>0</x:v>
      </x:c>
      <x:c r="D6" s="42" t="str">
        <x:v>Участников проб</x:v>
      </x:c>
      <x:c r="E6" s="51" t="n">
        <x:f>SUM('Пробы'!$J$3:$J$202)</x:f>
        <x:v>0</x:v>
      </x:c>
      <x:c r="G6" s="42" t="str">
        <x:v>Средняя экспертная оценка</x:v>
      </x:c>
      <x:c r="H6" s="58" t="n">
        <x:f>IFERROR(AVERAGE('Результаты'!$L$3:$L$302),0)</x:f>
        <x:v>0</x:v>
      </x:c>
    </x:row>
    <x:row r="7">
      <x:c r="A7" s="42" t="str">
        <x:v>Создано профилей</x:v>
      </x:c>
      <x:c r="B7" s="51" t="n">
        <x:f>COUNTIF('Сигналы'!$K$3:$K$502,"Да")</x:f>
        <x:v>0</x:v>
      </x:c>
      <x:c r="D7" s="42" t="str">
        <x:v>Сигналов после проб</x:v>
      </x:c>
      <x:c r="E7" s="51" t="n">
        <x:f>SUM('Пробы'!$K$3:$K$202)</x:f>
        <x:v>0</x:v>
      </x:c>
      <x:c r="G7" s="42" t="str">
        <x:v>Средняя самостоятельность</x:v>
      </x:c>
      <x:c r="H7" s="58" t="n">
        <x:f>IFERROR(AVERAGE('Результаты'!$M$3:$M$302),0)</x:f>
        <x:v>0</x:v>
      </x:c>
    </x:row>
    <x:row r="8">
      <x:c r="A8" s="42" t="str">
        <x:v>Активных маршрутов</x:v>
      </x:c>
      <x:c r="B8" s="51" t="n">
        <x:f>COUNTIF('Маршруты'!$K$3:$K$302,"Активен")</x:f>
        <x:v>0</x:v>
      </x:c>
      <x:c r="D8" s="42" t="str">
        <x:v>Маршрутов после проб</x:v>
      </x:c>
      <x:c r="E8" s="51" t="n">
        <x:f>SUM('Пробы'!$M$3:$M$202)</x:f>
        <x:v>0</x:v>
      </x:c>
      <x:c r="G8" s="42" t="str">
        <x:v>С публикацией / ссылкой</x:v>
      </x:c>
      <x:c r="H8" s="51" t="n">
        <x:f>COUNTIF('Результаты'!$P$3:$P$302,"&lt;&gt;")</x:f>
        <x:v>0</x:v>
      </x:c>
    </x:row>
    <x:row r="9">
      <x:c r="A9" s="42" t="str">
        <x:v>Завершённых маршрутов</x:v>
      </x:c>
      <x:c r="B9" s="51" t="n">
        <x:f>COUNTIF('Маршруты'!$K$3:$K$302,"Завершён")</x:f>
        <x:v>0</x:v>
      </x:c>
      <x:c r="D9" s="42" t="str">
        <x:v>Конверсия проб в сигналы</x:v>
      </x:c>
      <x:c r="E9" s="56" t="n">
        <x:f>IFERROR(E7/E6,0)</x:f>
        <x:v>0</x:v>
      </x:c>
      <x:c r="G9" s="42" t="str">
        <x:v>Федеральный и выше уровень</x:v>
      </x:c>
      <x:c r="H9" s="51" t="n">
        <x:f>COUNTIF('Результаты'!$J$3:$J$302,"Федеральный")+COUNTIF('Результаты'!$J$3:$J$302,"Международный")</x:f>
        <x:v>0</x:v>
      </x:c>
    </x:row>
    <x:row r="10">
      <x:c r="A10" s="42" t="str">
        <x:v>Доля завершённых</x:v>
      </x:c>
      <x:c r="B10" s="56" t="n">
        <x:f>IFERROR(B9/COUNTIF('Маршруты'!$C$3:$C$302,"&lt;&gt;"),0)</x:f>
        <x:v>0</x:v>
      </x:c>
      <x:c r="D10" s="42" t="str">
        <x:v>Просроченных точек</x:v>
      </x:c>
      <x:c r="E10" s="51" t="n">
        <x:f>COUNTIF('Контрольные точки'!$J$3:$J$602,"Просрочена")</x:f>
        <x:v>0</x:v>
      </x:c>
      <x:c r="G10" s="42" t="str">
        <x:v>Маршрутов с декларацией ИИ</x:v>
      </x:c>
      <x:c r="H10" s="51" t="n">
        <x:f>COUNTIF('Маршруты'!$R$3:$R$302,"Да")</x:f>
        <x:v>0</x:v>
      </x:c>
    </x:row>
    <x:row r="11">
      <x:c r="A11" s="42" t="str">
        <x:v>Наставников с перегрузкой</x:v>
      </x:c>
      <x:c r="B11" s="51" t="n">
        <x:f>COUNTIF('Наставники'!$G$3:$G$102,"Перегрузка")</x:f>
        <x:v>0</x:v>
      </x:c>
      <x:c r="D11" s="42" t="str">
        <x:v>Возможностей категории A</x:v>
      </x:c>
      <x:c r="E11" s="51" t="n">
        <x:f>COUNTIF('Возможности'!$T$3:$T$302,"A")</x:f>
        <x:v>0</x:v>
      </x:c>
      <x:c r="G11" s="42" t="str">
        <x:v>P1 в банке возможностей</x:v>
      </x:c>
      <x:c r="H11" s="51" t="n">
        <x:f>COUNTIF('Возможности'!$F$3:$F$302,"P1")</x:f>
        <x:v>0</x:v>
      </x:c>
    </x:row>
    <x:row r="14" ht="32" customHeight="1">
      <x:c r="A14" s="6" t="str">
        <x:v>Статусы маршрутов</x:v>
      </x:c>
      <x:c r="B14" s="6" t="str">
        <x:v>Количество</x:v>
      </x:c>
      <x:c r="D14" s="6" t="str">
        <x:v>Активные маршруты по направлениям</x:v>
      </x:c>
      <x:c r="E14" s="6" t="str">
        <x:v>Количество</x:v>
      </x:c>
      <x:c r="G14" s="6" t="str">
        <x:v>Категории возможностей</x:v>
      </x:c>
      <x:c r="H14" s="6" t="str">
        <x:v>Количество</x:v>
      </x:c>
    </x:row>
    <x:row r="15">
      <x:c r="A15" s="22" t="str">
        <x:v>К маршрутизации</x:v>
      </x:c>
      <x:c r="B15" s="22" t="n">
        <x:f>COUNTIF('Маршруты'!$K$3:$K$302,"К маршрутизации")</x:f>
        <x:v>0</x:v>
      </x:c>
      <x:c r="D15" s="22" t="str">
        <x:v>Исследую</x:v>
      </x:c>
      <x:c r="E15" s="22" t="n">
        <x:f>COUNTIFS('Маршруты'!$E$3:$E$302,"Исследую",'Маршруты'!$K$3:$K$302,"Активен")</x:f>
        <x:v>0</x:v>
      </x:c>
      <x:c r="G15" s="22" t="str">
        <x:v>A</x:v>
      </x:c>
      <x:c r="H15" s="22" t="n">
        <x:f>COUNTIF('Возможности'!$T$3:$T$302,"A")</x:f>
        <x:v>0</x:v>
      </x:c>
    </x:row>
    <x:row r="16">
      <x:c r="A16" s="22" t="str">
        <x:v>Активен</x:v>
      </x:c>
      <x:c r="B16" s="22" t="n">
        <x:f>COUNTIF('Маршруты'!$K$3:$K$302,"Активен")</x:f>
        <x:v>0</x:v>
      </x:c>
      <x:c r="D16" s="22" t="str">
        <x:v>Проектирую</x:v>
      </x:c>
      <x:c r="E16" s="22" t="n">
        <x:f>COUNTIFS('Маршруты'!$E$3:$E$302,"Проектирую",'Маршруты'!$K$3:$K$302,"Активен")</x:f>
        <x:v>0</x:v>
      </x:c>
      <x:c r="G16" s="22" t="str">
        <x:v>B</x:v>
      </x:c>
      <x:c r="H16" s="22" t="n">
        <x:f>COUNTIF('Возможности'!$T$3:$T$302,"B")</x:f>
        <x:v>0</x:v>
      </x:c>
    </x:row>
    <x:row r="17">
      <x:c r="A17" s="22" t="str">
        <x:v>Нужна корректировка</x:v>
      </x:c>
      <x:c r="B17" s="22" t="n">
        <x:f>COUNTIF('Маршруты'!$K$3:$K$302,"Нужна корректировка")</x:f>
        <x:v>0</x:v>
      </x:c>
      <x:c r="D17" s="22" t="str">
        <x:v>Решаю</x:v>
      </x:c>
      <x:c r="E17" s="22" t="n">
        <x:f>COUNTIFS('Маршруты'!$E$3:$E$302,"Решаю",'Маршруты'!$K$3:$K$302,"Активен")</x:f>
        <x:v>0</x:v>
      </x:c>
      <x:c r="G17" s="22" t="str">
        <x:v>C</x:v>
      </x:c>
      <x:c r="H17" s="22" t="n">
        <x:f>COUNTIF('Возможности'!$T$3:$T$302,"C")</x:f>
        <x:v>0</x:v>
      </x:c>
    </x:row>
    <x:row r="18">
      <x:c r="A18" s="22" t="str">
        <x:v>На паузе</x:v>
      </x:c>
      <x:c r="B18" s="22" t="n">
        <x:f>COUNTIF('Маршруты'!$K$3:$K$302,"На паузе")</x:f>
        <x:v>0</x:v>
      </x:c>
      <x:c r="D18" s="22" t="str">
        <x:v>Объясняю</x:v>
      </x:c>
      <x:c r="E18" s="22" t="n">
        <x:f>COUNTIFS('Маршруты'!$E$3:$E$302,"Объясняю",'Маршруты'!$K$3:$K$302,"Активен")</x:f>
        <x:v>0</x:v>
      </x:c>
    </x:row>
    <x:row r="19">
      <x:c r="A19" s="22" t="str">
        <x:v>Завершён</x:v>
      </x:c>
      <x:c r="B19" s="22" t="n">
        <x:f>COUNTIF('Маршруты'!$K$3:$K$302,"Завершён")</x:f>
        <x:v>0</x:v>
      </x:c>
      <x:c r="D19" s="22" t="str">
        <x:v>Сочетание</x:v>
      </x:c>
      <x:c r="E19" s="22" t="n">
        <x:f>COUNTIFS('Маршруты'!$E$3:$E$302,"Сочетание",'Маршруты'!$K$3:$K$302,"Активен")</x:f>
        <x:v>0</x:v>
      </x:c>
    </x:row>
    <x:row r="20">
      <x:c r="A20" s="22" t="str">
        <x:v>Закрыт без продукта</x:v>
      </x:c>
      <x:c r="B20" s="22" t="n">
        <x:f>COUNTIF('Маршруты'!$K$3:$K$302,"Закрыт без продукта")</x:f>
        <x:v>0</x:v>
      </x:c>
    </x:row>
    <x:row r="22" ht="32" customHeight="1">
      <x:c r="A22" s="6" t="str">
        <x:v>КОНТРОЛЬНЫЕ СИГНАЛЫ</x:v>
      </x:c>
      <x:c r="B22" s="6"/>
      <x:c r="C22" s="6"/>
      <x:c r="D22" s="6"/>
      <x:c r="E22" s="6"/>
      <x:c r="F22" s="6"/>
      <x:c r="G22" s="6"/>
      <x:c r="H22" s="6"/>
      <x:c r="I22" s="6"/>
      <x:c r="J22" s="6"/>
    </x:row>
    <x:row r="23">
      <x:c r="A23" s="42" t="str">
        <x:v>Просроченные сигналы &gt;20 дней</x:v>
      </x:c>
      <x:c r="B23" s="51" t="n">
        <x:f>COUNTIFS('Сигналы'!$P$3:$P$502,"&gt;20",'Сигналы'!$J$3:$J$502,"&lt;&gt;Закрыт")</x:f>
        <x:v>0</x:v>
      </x:c>
      <x:c r="D23" s="33" t="str">
        <x:v>Управленческое правило: красный показатель требует не наказания участника, а решения — назначить ответственного, упростить маршрут, перераспределить наставника, перенести срок, проверить безопасность или закрыть формальную активность.</x:v>
      </x:c>
      <x:c r="E23" s="33"/>
      <x:c r="F23" s="33"/>
      <x:c r="G23" s="33"/>
      <x:c r="H23" s="33"/>
      <x:c r="I23" s="33"/>
      <x:c r="J23" s="33"/>
    </x:row>
    <x:row r="24">
      <x:c r="A24" s="42" t="str">
        <x:v>Просроченные контрольные точки</x:v>
      </x:c>
      <x:c r="B24" s="51" t="n">
        <x:f>COUNTIF('Контрольные точки'!$J$3:$J$602,"Просрочена")</x:f>
        <x:v>0</x:v>
      </x:c>
      <x:c r="D24" s="33"/>
      <x:c r="E24" s="33"/>
      <x:c r="F24" s="33"/>
      <x:c r="G24" s="33"/>
      <x:c r="H24" s="33"/>
      <x:c r="I24" s="33"/>
      <x:c r="J24" s="33"/>
    </x:row>
    <x:row r="25">
      <x:c r="A25" s="42" t="str">
        <x:v>Маршруты «Нужна корректировка»</x:v>
      </x:c>
      <x:c r="B25" s="51" t="n">
        <x:f>COUNTIF('Маршруты'!$K$3:$K$302,"Нужна корректировка")</x:f>
        <x:v>0</x:v>
      </x:c>
      <x:c r="D25" s="33"/>
      <x:c r="E25" s="33"/>
      <x:c r="F25" s="33"/>
      <x:c r="G25" s="33"/>
      <x:c r="H25" s="33"/>
      <x:c r="I25" s="33"/>
      <x:c r="J25" s="33"/>
    </x:row>
    <x:row r="26">
      <x:c r="A26" s="42" t="str">
        <x:v>Наставники с перегрузкой</x:v>
      </x:c>
      <x:c r="B26" s="51" t="n">
        <x:f>COUNTIF('Наставники'!$G$3:$G$102,"Перегрузка")</x:f>
        <x:v>0</x:v>
      </x:c>
      <x:c r="D26" s="33"/>
      <x:c r="E26" s="33"/>
      <x:c r="F26" s="33"/>
      <x:c r="G26" s="33"/>
      <x:c r="H26" s="33"/>
      <x:c r="I26" s="33"/>
      <x:c r="J26" s="33"/>
    </x:row>
    <x:row r="50">
      <x:c r="J50"/>
    </x:row>
    <x:row r="51">
      <x:c r="J51"/>
    </x:row>
    <x:row r="52">
      <x:c r="J52"/>
    </x:row>
    <x:row r="53">
      <x:c r="J53"/>
    </x:row>
  </x:sheetData>
  <x:mergeCells>
    <x:mergeCell ref="A1:J1"/>
    <x:mergeCell ref="A2:J2"/>
    <x:mergeCell ref="A22:J22"/>
    <x:mergeCell ref="D23:J26"/>
  </x:mergeCells>
  <x:conditionalFormatting sqref="B23:B26">
    <x:cfRule type="cellIs" dxfId="21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3c2e5b346ea747e2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24" hidden="0" customWidth="1"/>
    <x:col min="5" max="5" width="9" hidden="0" customWidth="1"/>
    <x:col min="6" max="6" width="25" hidden="0" customWidth="1"/>
    <x:col min="7" max="7" width="20" hidden="0" customWidth="1"/>
    <x:col min="8" max="8" width="16" hidden="0" customWidth="1"/>
    <x:col min="9" max="9" width="38" hidden="0" customWidth="1"/>
    <x:col min="10" max="10" width="18" hidden="0" customWidth="1"/>
    <x:col min="11" max="11" width="14" hidden="0" customWidth="1"/>
    <x:col min="12" max="12" width="28" hidden="0" customWidth="1"/>
    <x:col min="13" max="13" width="20" hidden="0" customWidth="1"/>
    <x:col min="14" max="14" width="13" hidden="0" customWidth="1"/>
    <x:col min="15" max="15" width="30" hidden="0" customWidth="1"/>
    <x:col min="16" max="16" width="12" hidden="0" customWidth="1"/>
  </x:cols>
  <x:sheetData>
    <x:row r="1" ht="30" customHeight="1">
      <x:c r="A1" s="16" t="str">
        <x:v>СИГНАЛЫ И ЗАЯВКИ: вход в систему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</x:row>
    <x:row r="2" ht="32" customHeight="1">
      <x:c r="A2" s="6" t="str">
        <x:v>ID сигнала</x:v>
      </x:c>
      <x:c r="B2" s="6" t="str">
        <x:v>Дата</x:v>
      </x:c>
      <x:c r="C2" s="6" t="str">
        <x:v>ID ученика</x:v>
      </x:c>
      <x:c r="D2" s="6" t="str">
        <x:v>Ф.И.О.</x:v>
      </x:c>
      <x:c r="E2" s="6" t="str">
        <x:v>Класс</x:v>
      </x:c>
      <x:c r="F2" s="6" t="str">
        <x:v>Источник</x:v>
      </x:c>
      <x:c r="G2" s="6" t="str">
        <x:v>Инициатор</x:v>
      </x:c>
      <x:c r="H2" s="6" t="str">
        <x:v>Направление</x:v>
      </x:c>
      <x:c r="I2" s="6" t="str">
        <x:v>Наблюдаемый факт / идея</x:v>
      </x:c>
      <x:c r="J2" s="6" t="str">
        <x:v>Статус</x:v>
      </x:c>
      <x:c r="K2" s="6" t="str">
        <x:v>Профиль создан</x:v>
      </x:c>
      <x:c r="L2" s="6" t="str">
        <x:v>Следующий шаг</x:v>
      </x:c>
      <x:c r="M2" s="6" t="str">
        <x:v>Ответственный</x:v>
      </x:c>
      <x:c r="N2" s="6" t="str">
        <x:v>Дата пересмотра</x:v>
      </x:c>
      <x:c r="O2" s="6" t="str">
        <x:v>Ссылка / примечание</x:v>
      </x:c>
      <x:c r="P2" s="6" t="str">
        <x:v>Дней в работе</x:v>
      </x:c>
    </x:row>
    <x:row r="3">
      <x:c r="A3" s="22" t="str">
        <x:f>IF(D3="","","SIG-"&amp;TEXT(ROW()-2,"0000"))</x:f>
      </x:c>
      <x:c r="B3" s="26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6"/>
      <x:c r="O3" s="22"/>
      <x:c r="P3" s="22" t="str">
        <x:f>IF(OR(B3="",J3="Закрыт"),"",TODAY()-B3)</x:f>
      </x:c>
    </x:row>
    <x:row r="4">
      <x:c r="A4" s="22" t="str">
        <x:f>IF(D4="","","SIG-"&amp;TEXT(ROW()-2,"0000"))</x:f>
      </x:c>
      <x:c r="B4" s="26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6"/>
      <x:c r="O4" s="22"/>
      <x:c r="P4" s="22" t="str">
        <x:f>IF(OR(B4="",J4="Закрыт"),"",TODAY()-B4)</x:f>
      </x:c>
    </x:row>
    <x:row r="5">
      <x:c r="A5" s="22" t="str">
        <x:f>IF(D5="","","SIG-"&amp;TEXT(ROW()-2,"0000"))</x:f>
      </x:c>
      <x:c r="B5" s="26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6"/>
      <x:c r="O5" s="22"/>
      <x:c r="P5" s="22" t="str">
        <x:f>IF(OR(B5="",J5="Закрыт"),"",TODAY()-B5)</x:f>
      </x:c>
    </x:row>
    <x:row r="6">
      <x:c r="A6" s="22" t="str">
        <x:f>IF(D6="","","SIG-"&amp;TEXT(ROW()-2,"0000"))</x:f>
      </x:c>
      <x:c r="B6" s="26"/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6"/>
      <x:c r="O6" s="22"/>
      <x:c r="P6" s="22" t="str">
        <x:f>IF(OR(B6="",J6="Закрыт"),"",TODAY()-B6)</x:f>
      </x:c>
    </x:row>
    <x:row r="7">
      <x:c r="A7" s="22" t="str">
        <x:f>IF(D7="","","SIG-"&amp;TEXT(ROW()-2,"0000"))</x:f>
      </x:c>
      <x:c r="B7" s="26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6"/>
      <x:c r="O7" s="22"/>
      <x:c r="P7" s="22" t="str">
        <x:f>IF(OR(B7="",J7="Закрыт"),"",TODAY()-B7)</x:f>
      </x:c>
    </x:row>
    <x:row r="8">
      <x:c r="A8" s="22" t="str">
        <x:f>IF(D8="","","SIG-"&amp;TEXT(ROW()-2,"0000"))</x:f>
      </x:c>
      <x:c r="B8" s="26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6"/>
      <x:c r="O8" s="22"/>
      <x:c r="P8" s="22" t="str">
        <x:f>IF(OR(B8="",J8="Закрыт"),"",TODAY()-B8)</x:f>
      </x:c>
    </x:row>
    <x:row r="9">
      <x:c r="A9" s="22" t="str">
        <x:f>IF(D9="","","SIG-"&amp;TEXT(ROW()-2,"0000"))</x:f>
      </x:c>
      <x:c r="B9" s="26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6"/>
      <x:c r="O9" s="22"/>
      <x:c r="P9" s="22" t="str">
        <x:f>IF(OR(B9="",J9="Закрыт"),"",TODAY()-B9)</x:f>
      </x:c>
    </x:row>
    <x:row r="10">
      <x:c r="A10" s="22" t="str">
        <x:f>IF(D10="","","SIG-"&amp;TEXT(ROW()-2,"0000"))</x:f>
      </x:c>
      <x:c r="B10" s="26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6"/>
      <x:c r="O10" s="22"/>
      <x:c r="P10" s="22" t="str">
        <x:f>IF(OR(B10="",J10="Закрыт"),"",TODAY()-B10)</x:f>
      </x:c>
    </x:row>
    <x:row r="11">
      <x:c r="A11" s="22" t="str">
        <x:f>IF(D11="","","SIG-"&amp;TEXT(ROW()-2,"0000"))</x:f>
      </x:c>
      <x:c r="B11" s="26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6"/>
      <x:c r="O11" s="22"/>
      <x:c r="P11" s="22" t="str">
        <x:f>IF(OR(B11="",J11="Закрыт"),"",TODAY()-B11)</x:f>
      </x:c>
    </x:row>
    <x:row r="12">
      <x:c r="A12" s="22" t="str">
        <x:f>IF(D12="","","SIG-"&amp;TEXT(ROW()-2,"0000"))</x:f>
      </x:c>
      <x:c r="B12" s="26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6"/>
      <x:c r="O12" s="22"/>
      <x:c r="P12" s="22" t="str">
        <x:f>IF(OR(B12="",J12="Закрыт"),"",TODAY()-B12)</x:f>
      </x:c>
    </x:row>
    <x:row r="13">
      <x:c r="A13" s="22" t="str">
        <x:f>IF(D13="","","SIG-"&amp;TEXT(ROW()-2,"0000"))</x:f>
      </x:c>
      <x:c r="B13" s="26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6"/>
      <x:c r="O13" s="22"/>
      <x:c r="P13" s="22" t="str">
        <x:f>IF(OR(B13="",J13="Закрыт"),"",TODAY()-B13)</x:f>
      </x:c>
    </x:row>
    <x:row r="14">
      <x:c r="A14" s="22" t="str">
        <x:f>IF(D14="","","SIG-"&amp;TEXT(ROW()-2,"0000"))</x:f>
      </x:c>
      <x:c r="B14" s="26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6"/>
      <x:c r="O14" s="22"/>
      <x:c r="P14" s="22" t="str">
        <x:f>IF(OR(B14="",J14="Закрыт"),"",TODAY()-B14)</x:f>
      </x:c>
    </x:row>
    <x:row r="15">
      <x:c r="A15" s="22" t="str">
        <x:f>IF(D15="","","SIG-"&amp;TEXT(ROW()-2,"0000"))</x:f>
      </x:c>
      <x:c r="B15" s="26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6"/>
      <x:c r="O15" s="22"/>
      <x:c r="P15" s="22" t="str">
        <x:f>IF(OR(B15="",J15="Закрыт"),"",TODAY()-B15)</x:f>
      </x:c>
    </x:row>
    <x:row r="16">
      <x:c r="A16" s="22" t="str">
        <x:f>IF(D16="","","SIG-"&amp;TEXT(ROW()-2,"0000"))</x:f>
      </x:c>
      <x:c r="B16" s="26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6"/>
      <x:c r="O16" s="22"/>
      <x:c r="P16" s="22" t="str">
        <x:f>IF(OR(B16="",J16="Закрыт"),"",TODAY()-B16)</x:f>
      </x:c>
    </x:row>
    <x:row r="17">
      <x:c r="A17" s="22" t="str">
        <x:f>IF(D17="","","SIG-"&amp;TEXT(ROW()-2,"0000"))</x:f>
      </x:c>
      <x:c r="B17" s="26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6"/>
      <x:c r="O17" s="22"/>
      <x:c r="P17" s="22" t="str">
        <x:f>IF(OR(B17="",J17="Закрыт"),"",TODAY()-B17)</x:f>
      </x:c>
    </x:row>
    <x:row r="18">
      <x:c r="A18" s="22" t="str">
        <x:f>IF(D18="","","SIG-"&amp;TEXT(ROW()-2,"0000"))</x:f>
      </x:c>
      <x:c r="B18" s="26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6"/>
      <x:c r="O18" s="22"/>
      <x:c r="P18" s="22" t="str">
        <x:f>IF(OR(B18="",J18="Закрыт"),"",TODAY()-B18)</x:f>
      </x:c>
    </x:row>
    <x:row r="19">
      <x:c r="A19" s="22" t="str">
        <x:f>IF(D19="","","SIG-"&amp;TEXT(ROW()-2,"0000"))</x:f>
      </x:c>
      <x:c r="B19" s="26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6"/>
      <x:c r="O19" s="22"/>
      <x:c r="P19" s="22" t="str">
        <x:f>IF(OR(B19="",J19="Закрыт"),"",TODAY()-B19)</x:f>
      </x:c>
    </x:row>
    <x:row r="20">
      <x:c r="A20" s="22" t="str">
        <x:f>IF(D20="","","SIG-"&amp;TEXT(ROW()-2,"0000"))</x:f>
      </x:c>
      <x:c r="B20" s="26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6"/>
      <x:c r="O20" s="22"/>
      <x:c r="P20" s="22" t="str">
        <x:f>IF(OR(B20="",J20="Закрыт"),"",TODAY()-B20)</x:f>
      </x:c>
    </x:row>
    <x:row r="21">
      <x:c r="A21" s="22" t="str">
        <x:f>IF(D21="","","SIG-"&amp;TEXT(ROW()-2,"0000"))</x:f>
      </x:c>
      <x:c r="B21" s="26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6"/>
      <x:c r="O21" s="22"/>
      <x:c r="P21" s="22" t="str">
        <x:f>IF(OR(B21="",J21="Закрыт"),"",TODAY()-B21)</x:f>
      </x:c>
    </x:row>
    <x:row r="22">
      <x:c r="A22" s="22" t="str">
        <x:f>IF(D22="","","SIG-"&amp;TEXT(ROW()-2,"0000"))</x:f>
      </x:c>
      <x:c r="B22" s="26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6"/>
      <x:c r="O22" s="22"/>
      <x:c r="P22" s="22" t="str">
        <x:f>IF(OR(B22="",J22="Закрыт"),"",TODAY()-B22)</x:f>
      </x:c>
    </x:row>
    <x:row r="23">
      <x:c r="A23" s="22" t="str">
        <x:f>IF(D23="","","SIG-"&amp;TEXT(ROW()-2,"0000"))</x:f>
      </x:c>
      <x:c r="B23" s="26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6"/>
      <x:c r="O23" s="22"/>
      <x:c r="P23" s="22" t="str">
        <x:f>IF(OR(B23="",J23="Закрыт"),"",TODAY()-B23)</x:f>
      </x:c>
    </x:row>
    <x:row r="24">
      <x:c r="A24" s="22" t="str">
        <x:f>IF(D24="","","SIG-"&amp;TEXT(ROW()-2,"0000"))</x:f>
      </x:c>
      <x:c r="B24" s="26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6"/>
      <x:c r="O24" s="22"/>
      <x:c r="P24" s="22" t="str">
        <x:f>IF(OR(B24="",J24="Закрыт"),"",TODAY()-B24)</x:f>
      </x:c>
    </x:row>
    <x:row r="25">
      <x:c r="A25" s="22" t="str">
        <x:f>IF(D25="","","SIG-"&amp;TEXT(ROW()-2,"0000"))</x:f>
      </x:c>
      <x:c r="B25" s="26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6"/>
      <x:c r="O25" s="22"/>
      <x:c r="P25" s="22" t="str">
        <x:f>IF(OR(B25="",J25="Закрыт"),"",TODAY()-B25)</x:f>
      </x:c>
    </x:row>
    <x:row r="26">
      <x:c r="A26" s="22" t="str">
        <x:f>IF(D26="","","SIG-"&amp;TEXT(ROW()-2,"0000"))</x:f>
      </x:c>
      <x:c r="B26" s="26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6"/>
      <x:c r="O26" s="22"/>
      <x:c r="P26" s="22" t="str">
        <x:f>IF(OR(B26="",J26="Закрыт"),"",TODAY()-B26)</x:f>
      </x:c>
    </x:row>
    <x:row r="27">
      <x:c r="A27" s="22" t="str">
        <x:f>IF(D27="","","SIG-"&amp;TEXT(ROW()-2,"0000"))</x:f>
      </x:c>
      <x:c r="B27" s="26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6"/>
      <x:c r="O27" s="22"/>
      <x:c r="P27" s="22" t="str">
        <x:f>IF(OR(B27="",J27="Закрыт"),"",TODAY()-B27)</x:f>
      </x:c>
    </x:row>
    <x:row r="28">
      <x:c r="A28" s="22" t="str">
        <x:f>IF(D28="","","SIG-"&amp;TEXT(ROW()-2,"0000"))</x:f>
      </x:c>
      <x:c r="B28" s="26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6"/>
      <x:c r="O28" s="22"/>
      <x:c r="P28" s="22" t="str">
        <x:f>IF(OR(B28="",J28="Закрыт"),"",TODAY()-B28)</x:f>
      </x:c>
    </x:row>
    <x:row r="29">
      <x:c r="A29" s="22" t="str">
        <x:f>IF(D29="","","SIG-"&amp;TEXT(ROW()-2,"0000"))</x:f>
      </x:c>
      <x:c r="B29" s="26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6"/>
      <x:c r="O29" s="22"/>
      <x:c r="P29" s="22" t="str">
        <x:f>IF(OR(B29="",J29="Закрыт"),"",TODAY()-B29)</x:f>
      </x:c>
    </x:row>
    <x:row r="30">
      <x:c r="A30" s="22" t="str">
        <x:f>IF(D30="","","SIG-"&amp;TEXT(ROW()-2,"0000"))</x:f>
      </x:c>
      <x:c r="B30" s="26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6"/>
      <x:c r="O30" s="22"/>
      <x:c r="P30" s="22" t="str">
        <x:f>IF(OR(B30="",J30="Закрыт"),"",TODAY()-B30)</x:f>
      </x:c>
    </x:row>
    <x:row r="31">
      <x:c r="A31" s="22" t="str">
        <x:f>IF(D31="","","SIG-"&amp;TEXT(ROW()-2,"0000"))</x:f>
      </x:c>
      <x:c r="B31" s="26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6"/>
      <x:c r="O31" s="22"/>
      <x:c r="P31" s="22" t="str">
        <x:f>IF(OR(B31="",J31="Закрыт"),"",TODAY()-B31)</x:f>
      </x:c>
    </x:row>
    <x:row r="32">
      <x:c r="A32" s="22" t="str">
        <x:f>IF(D32="","","SIG-"&amp;TEXT(ROW()-2,"0000"))</x:f>
      </x:c>
      <x:c r="B32" s="26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6"/>
      <x:c r="O32" s="22"/>
      <x:c r="P32" s="22" t="str">
        <x:f>IF(OR(B32="",J32="Закрыт"),"",TODAY()-B32)</x:f>
      </x:c>
    </x:row>
    <x:row r="33">
      <x:c r="A33" s="22" t="str">
        <x:f>IF(D33="","","SIG-"&amp;TEXT(ROW()-2,"0000"))</x:f>
      </x:c>
      <x:c r="B33" s="26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6"/>
      <x:c r="O33" s="22"/>
      <x:c r="P33" s="22" t="str">
        <x:f>IF(OR(B33="",J33="Закрыт"),"",TODAY()-B33)</x:f>
      </x:c>
    </x:row>
    <x:row r="34">
      <x:c r="A34" s="22" t="str">
        <x:f>IF(D34="","","SIG-"&amp;TEXT(ROW()-2,"0000"))</x:f>
      </x:c>
      <x:c r="B34" s="26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6"/>
      <x:c r="O34" s="22"/>
      <x:c r="P34" s="22" t="str">
        <x:f>IF(OR(B34="",J34="Закрыт"),"",TODAY()-B34)</x:f>
      </x:c>
    </x:row>
    <x:row r="35">
      <x:c r="A35" s="22" t="str">
        <x:f>IF(D35="","","SIG-"&amp;TEXT(ROW()-2,"0000"))</x:f>
      </x:c>
      <x:c r="B35" s="26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6"/>
      <x:c r="O35" s="22"/>
      <x:c r="P35" s="22" t="str">
        <x:f>IF(OR(B35="",J35="Закрыт"),"",TODAY()-B35)</x:f>
      </x:c>
    </x:row>
    <x:row r="36">
      <x:c r="A36" s="22" t="str">
        <x:f>IF(D36="","","SIG-"&amp;TEXT(ROW()-2,"0000"))</x:f>
      </x:c>
      <x:c r="B36" s="26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6"/>
      <x:c r="O36" s="22"/>
      <x:c r="P36" s="22" t="str">
        <x:f>IF(OR(B36="",J36="Закрыт"),"",TODAY()-B36)</x:f>
      </x:c>
    </x:row>
    <x:row r="37">
      <x:c r="A37" s="22" t="str">
        <x:f>IF(D37="","","SIG-"&amp;TEXT(ROW()-2,"0000"))</x:f>
      </x:c>
      <x:c r="B37" s="26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6"/>
      <x:c r="O37" s="22"/>
      <x:c r="P37" s="22" t="str">
        <x:f>IF(OR(B37="",J37="Закрыт"),"",TODAY()-B37)</x:f>
      </x:c>
    </x:row>
    <x:row r="38">
      <x:c r="A38" s="22" t="str">
        <x:f>IF(D38="","","SIG-"&amp;TEXT(ROW()-2,"0000"))</x:f>
      </x:c>
      <x:c r="B38" s="26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6"/>
      <x:c r="O38" s="22"/>
      <x:c r="P38" s="22" t="str">
        <x:f>IF(OR(B38="",J38="Закрыт"),"",TODAY()-B38)</x:f>
      </x:c>
    </x:row>
    <x:row r="39">
      <x:c r="A39" s="22" t="str">
        <x:f>IF(D39="","","SIG-"&amp;TEXT(ROW()-2,"0000"))</x:f>
      </x:c>
      <x:c r="B39" s="26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6"/>
      <x:c r="O39" s="22"/>
      <x:c r="P39" s="22" t="str">
        <x:f>IF(OR(B39="",J39="Закрыт"),"",TODAY()-B39)</x:f>
      </x:c>
    </x:row>
    <x:row r="40">
      <x:c r="A40" s="22" t="str">
        <x:f>IF(D40="","","SIG-"&amp;TEXT(ROW()-2,"0000"))</x:f>
      </x:c>
      <x:c r="B40" s="26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6"/>
      <x:c r="O40" s="22"/>
      <x:c r="P40" s="22" t="str">
        <x:f>IF(OR(B40="",J40="Закрыт"),"",TODAY()-B40)</x:f>
      </x:c>
    </x:row>
    <x:row r="41">
      <x:c r="A41" s="22" t="str">
        <x:f>IF(D41="","","SIG-"&amp;TEXT(ROW()-2,"0000"))</x:f>
      </x:c>
      <x:c r="B41" s="26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6"/>
      <x:c r="O41" s="22"/>
      <x:c r="P41" s="22" t="str">
        <x:f>IF(OR(B41="",J41="Закрыт"),"",TODAY()-B41)</x:f>
      </x:c>
    </x:row>
    <x:row r="42">
      <x:c r="A42" s="22" t="str">
        <x:f>IF(D42="","","SIG-"&amp;TEXT(ROW()-2,"0000"))</x:f>
      </x:c>
      <x:c r="B42" s="26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6"/>
      <x:c r="O42" s="22"/>
      <x:c r="P42" s="22" t="str">
        <x:f>IF(OR(B42="",J42="Закрыт"),"",TODAY()-B42)</x:f>
      </x:c>
    </x:row>
    <x:row r="43">
      <x:c r="A43" s="22" t="str">
        <x:f>IF(D43="","","SIG-"&amp;TEXT(ROW()-2,"0000"))</x:f>
      </x:c>
      <x:c r="B43" s="26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6"/>
      <x:c r="O43" s="22"/>
      <x:c r="P43" s="22" t="str">
        <x:f>IF(OR(B43="",J43="Закрыт"),"",TODAY()-B43)</x:f>
      </x:c>
    </x:row>
    <x:row r="44">
      <x:c r="A44" s="22" t="str">
        <x:f>IF(D44="","","SIG-"&amp;TEXT(ROW()-2,"0000"))</x:f>
      </x:c>
      <x:c r="B44" s="26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6"/>
      <x:c r="O44" s="22"/>
      <x:c r="P44" s="22" t="str">
        <x:f>IF(OR(B44="",J44="Закрыт"),"",TODAY()-B44)</x:f>
      </x:c>
    </x:row>
    <x:row r="45">
      <x:c r="A45" s="22" t="str">
        <x:f>IF(D45="","","SIG-"&amp;TEXT(ROW()-2,"0000"))</x:f>
      </x:c>
      <x:c r="B45" s="26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6"/>
      <x:c r="O45" s="22"/>
      <x:c r="P45" s="22" t="str">
        <x:f>IF(OR(B45="",J45="Закрыт"),"",TODAY()-B45)</x:f>
      </x:c>
    </x:row>
    <x:row r="46">
      <x:c r="A46" s="22" t="str">
        <x:f>IF(D46="","","SIG-"&amp;TEXT(ROW()-2,"0000"))</x:f>
      </x:c>
      <x:c r="B46" s="26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6"/>
      <x:c r="O46" s="22"/>
      <x:c r="P46" s="22" t="str">
        <x:f>IF(OR(B46="",J46="Закрыт"),"",TODAY()-B46)</x:f>
      </x:c>
    </x:row>
    <x:row r="47">
      <x:c r="A47" s="22" t="str">
        <x:f>IF(D47="","","SIG-"&amp;TEXT(ROW()-2,"0000"))</x:f>
      </x:c>
      <x:c r="B47" s="26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6"/>
      <x:c r="O47" s="22"/>
      <x:c r="P47" s="22" t="str">
        <x:f>IF(OR(B47="",J47="Закрыт"),"",TODAY()-B47)</x:f>
      </x:c>
    </x:row>
    <x:row r="48">
      <x:c r="A48" s="22" t="str">
        <x:f>IF(D48="","","SIG-"&amp;TEXT(ROW()-2,"0000"))</x:f>
      </x:c>
      <x:c r="B48" s="26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6"/>
      <x:c r="O48" s="22"/>
      <x:c r="P48" s="22" t="str">
        <x:f>IF(OR(B48="",J48="Закрыт"),"",TODAY()-B48)</x:f>
      </x:c>
    </x:row>
    <x:row r="49">
      <x:c r="A49" s="22" t="str">
        <x:f>IF(D49="","","SIG-"&amp;TEXT(ROW()-2,"0000"))</x:f>
      </x:c>
      <x:c r="B49" s="26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6"/>
      <x:c r="O49" s="22"/>
      <x:c r="P49" s="22" t="str">
        <x:f>IF(OR(B49="",J49="Закрыт"),"",TODAY()-B49)</x:f>
      </x:c>
    </x:row>
    <x:row r="50">
      <x:c r="A50" s="22" t="str">
        <x:f>IF(D50="","","SIG-"&amp;TEXT(ROW()-2,"0000"))</x:f>
      </x:c>
      <x:c r="B50" s="26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6"/>
      <x:c r="O50" s="22"/>
      <x:c r="P50" s="22" t="str">
        <x:f>IF(OR(B50="",J50="Закрыт"),"",TODAY()-B50)</x:f>
      </x:c>
    </x:row>
    <x:row r="51">
      <x:c r="A51" s="22" t="str">
        <x:f>IF(D51="","","SIG-"&amp;TEXT(ROW()-2,"0000"))</x:f>
      </x:c>
      <x:c r="B51" s="26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6"/>
      <x:c r="O51" s="22"/>
      <x:c r="P51" s="22" t="str">
        <x:f>IF(OR(B51="",J51="Закрыт"),"",TODAY()-B51)</x:f>
      </x:c>
    </x:row>
    <x:row r="52">
      <x:c r="A52" s="22" t="str">
        <x:f>IF(D52="","","SIG-"&amp;TEXT(ROW()-2,"0000"))</x:f>
      </x:c>
      <x:c r="B52" s="26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6"/>
      <x:c r="O52" s="22"/>
      <x:c r="P52" s="22" t="str">
        <x:f>IF(OR(B52="",J52="Закрыт"),"",TODAY()-B52)</x:f>
      </x:c>
    </x:row>
    <x:row r="53">
      <x:c r="A53" s="22" t="str">
        <x:f>IF(D53="","","SIG-"&amp;TEXT(ROW()-2,"0000"))</x:f>
      </x:c>
      <x:c r="B53" s="26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6"/>
      <x:c r="O53" s="22"/>
      <x:c r="P53" s="22" t="str">
        <x:f>IF(OR(B53="",J53="Закрыт"),"",TODAY()-B53)</x:f>
      </x:c>
    </x:row>
    <x:row r="54">
      <x:c r="A54" s="22" t="str">
        <x:f>IF(D54="","","SIG-"&amp;TEXT(ROW()-2,"0000"))</x:f>
      </x:c>
      <x:c r="B54" s="26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6"/>
      <x:c r="O54" s="22"/>
      <x:c r="P54" s="22" t="str">
        <x:f>IF(OR(B54="",J54="Закрыт"),"",TODAY()-B54)</x:f>
      </x:c>
    </x:row>
    <x:row r="55">
      <x:c r="A55" s="22" t="str">
        <x:f>IF(D55="","","SIG-"&amp;TEXT(ROW()-2,"0000"))</x:f>
      </x:c>
      <x:c r="B55" s="26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6"/>
      <x:c r="O55" s="22"/>
      <x:c r="P55" s="22" t="str">
        <x:f>IF(OR(B55="",J55="Закрыт"),"",TODAY()-B55)</x:f>
      </x:c>
    </x:row>
    <x:row r="56">
      <x:c r="A56" s="22" t="str">
        <x:f>IF(D56="","","SIG-"&amp;TEXT(ROW()-2,"0000"))</x:f>
      </x:c>
      <x:c r="B56" s="26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6"/>
      <x:c r="O56" s="22"/>
      <x:c r="P56" s="22" t="str">
        <x:f>IF(OR(B56="",J56="Закрыт"),"",TODAY()-B56)</x:f>
      </x:c>
    </x:row>
    <x:row r="57">
      <x:c r="A57" s="22" t="str">
        <x:f>IF(D57="","","SIG-"&amp;TEXT(ROW()-2,"0000"))</x:f>
      </x:c>
      <x:c r="B57" s="26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6"/>
      <x:c r="O57" s="22"/>
      <x:c r="P57" s="22" t="str">
        <x:f>IF(OR(B57="",J57="Закрыт"),"",TODAY()-B57)</x:f>
      </x:c>
    </x:row>
    <x:row r="58">
      <x:c r="A58" s="22" t="str">
        <x:f>IF(D58="","","SIG-"&amp;TEXT(ROW()-2,"0000"))</x:f>
      </x:c>
      <x:c r="B58" s="26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  <x:c r="M58" s="22"/>
      <x:c r="N58" s="26"/>
      <x:c r="O58" s="22"/>
      <x:c r="P58" s="22" t="str">
        <x:f>IF(OR(B58="",J58="Закрыт"),"",TODAY()-B58)</x:f>
      </x:c>
    </x:row>
    <x:row r="59">
      <x:c r="A59" s="22" t="str">
        <x:f>IF(D59="","","SIG-"&amp;TEXT(ROW()-2,"0000"))</x:f>
      </x:c>
      <x:c r="B59" s="26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  <x:c r="M59" s="22"/>
      <x:c r="N59" s="26"/>
      <x:c r="O59" s="22"/>
      <x:c r="P59" s="22" t="str">
        <x:f>IF(OR(B59="",J59="Закрыт"),"",TODAY()-B59)</x:f>
      </x:c>
    </x:row>
    <x:row r="60">
      <x:c r="A60" s="22" t="str">
        <x:f>IF(D60="","","SIG-"&amp;TEXT(ROW()-2,"0000"))</x:f>
      </x:c>
      <x:c r="B60" s="26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  <x:c r="M60" s="22"/>
      <x:c r="N60" s="26"/>
      <x:c r="O60" s="22"/>
      <x:c r="P60" s="22" t="str">
        <x:f>IF(OR(B60="",J60="Закрыт"),"",TODAY()-B60)</x:f>
      </x:c>
    </x:row>
    <x:row r="61">
      <x:c r="A61" s="22" t="str">
        <x:f>IF(D61="","","SIG-"&amp;TEXT(ROW()-2,"0000"))</x:f>
      </x:c>
      <x:c r="B61" s="26"/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6"/>
      <x:c r="O61" s="22"/>
      <x:c r="P61" s="22" t="str">
        <x:f>IF(OR(B61="",J61="Закрыт"),"",TODAY()-B61)</x:f>
      </x:c>
    </x:row>
    <x:row r="62">
      <x:c r="A62" s="22" t="str">
        <x:f>IF(D62="","","SIG-"&amp;TEXT(ROW()-2,"0000"))</x:f>
      </x:c>
      <x:c r="B62" s="26"/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6"/>
      <x:c r="O62" s="22"/>
      <x:c r="P62" s="22" t="str">
        <x:f>IF(OR(B62="",J62="Закрыт"),"",TODAY()-B62)</x:f>
      </x:c>
    </x:row>
    <x:row r="63">
      <x:c r="A63" s="22" t="str">
        <x:f>IF(D63="","","SIG-"&amp;TEXT(ROW()-2,"0000"))</x:f>
      </x:c>
      <x:c r="B63" s="26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6"/>
      <x:c r="O63" s="22"/>
      <x:c r="P63" s="22" t="str">
        <x:f>IF(OR(B63="",J63="Закрыт"),"",TODAY()-B63)</x:f>
      </x:c>
    </x:row>
    <x:row r="64">
      <x:c r="A64" s="22" t="str">
        <x:f>IF(D64="","","SIG-"&amp;TEXT(ROW()-2,"0000"))</x:f>
      </x:c>
      <x:c r="B64" s="26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6"/>
      <x:c r="O64" s="22"/>
      <x:c r="P64" s="22" t="str">
        <x:f>IF(OR(B64="",J64="Закрыт"),"",TODAY()-B64)</x:f>
      </x:c>
    </x:row>
    <x:row r="65">
      <x:c r="A65" s="22" t="str">
        <x:f>IF(D65="","","SIG-"&amp;TEXT(ROW()-2,"0000"))</x:f>
      </x:c>
      <x:c r="B65" s="26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6"/>
      <x:c r="O65" s="22"/>
      <x:c r="P65" s="22" t="str">
        <x:f>IF(OR(B65="",J65="Закрыт"),"",TODAY()-B65)</x:f>
      </x:c>
    </x:row>
    <x:row r="66">
      <x:c r="A66" s="22" t="str">
        <x:f>IF(D66="","","SIG-"&amp;TEXT(ROW()-2,"0000"))</x:f>
      </x:c>
      <x:c r="B66" s="26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6"/>
      <x:c r="O66" s="22"/>
      <x:c r="P66" s="22" t="str">
        <x:f>IF(OR(B66="",J66="Закрыт"),"",TODAY()-B66)</x:f>
      </x:c>
    </x:row>
    <x:row r="67">
      <x:c r="A67" s="22" t="str">
        <x:f>IF(D67="","","SIG-"&amp;TEXT(ROW()-2,"0000"))</x:f>
      </x:c>
      <x:c r="B67" s="26"/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6"/>
      <x:c r="O67" s="22"/>
      <x:c r="P67" s="22" t="str">
        <x:f>IF(OR(B67="",J67="Закрыт"),"",TODAY()-B67)</x:f>
      </x:c>
    </x:row>
    <x:row r="68">
      <x:c r="A68" s="22" t="str">
        <x:f>IF(D68="","","SIG-"&amp;TEXT(ROW()-2,"0000"))</x:f>
      </x:c>
      <x:c r="B68" s="26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6"/>
      <x:c r="O68" s="22"/>
      <x:c r="P68" s="22" t="str">
        <x:f>IF(OR(B68="",J68="Закрыт"),"",TODAY()-B68)</x:f>
      </x:c>
    </x:row>
    <x:row r="69">
      <x:c r="A69" s="22" t="str">
        <x:f>IF(D69="","","SIG-"&amp;TEXT(ROW()-2,"0000"))</x:f>
      </x:c>
      <x:c r="B69" s="26"/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6"/>
      <x:c r="O69" s="22"/>
      <x:c r="P69" s="22" t="str">
        <x:f>IF(OR(B69="",J69="Закрыт"),"",TODAY()-B69)</x:f>
      </x:c>
    </x:row>
    <x:row r="70">
      <x:c r="A70" s="22" t="str">
        <x:f>IF(D70="","","SIG-"&amp;TEXT(ROW()-2,"0000"))</x:f>
      </x:c>
      <x:c r="B70" s="26"/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6"/>
      <x:c r="O70" s="22"/>
      <x:c r="P70" s="22" t="str">
        <x:f>IF(OR(B70="",J70="Закрыт"),"",TODAY()-B70)</x:f>
      </x:c>
    </x:row>
    <x:row r="71">
      <x:c r="A71" s="22" t="str">
        <x:f>IF(D71="","","SIG-"&amp;TEXT(ROW()-2,"0000"))</x:f>
      </x:c>
      <x:c r="B71" s="26"/>
      <x:c r="C71" s="22"/>
      <x:c r="D71" s="22"/>
      <x:c r="E71" s="22"/>
      <x:c r="F71" s="22"/>
      <x:c r="G71" s="22"/>
      <x:c r="H71" s="22"/>
      <x:c r="I71" s="22"/>
      <x:c r="J71" s="22"/>
      <x:c r="K71" s="22"/>
      <x:c r="L71" s="22"/>
      <x:c r="M71" s="22"/>
      <x:c r="N71" s="26"/>
      <x:c r="O71" s="22"/>
      <x:c r="P71" s="22" t="str">
        <x:f>IF(OR(B71="",J71="Закрыт"),"",TODAY()-B71)</x:f>
      </x:c>
    </x:row>
    <x:row r="72">
      <x:c r="A72" s="22" t="str">
        <x:f>IF(D72="","","SIG-"&amp;TEXT(ROW()-2,"0000"))</x:f>
      </x:c>
      <x:c r="B72" s="26"/>
      <x:c r="C72" s="22"/>
      <x:c r="D72" s="22"/>
      <x:c r="E72" s="22"/>
      <x:c r="F72" s="22"/>
      <x:c r="G72" s="22"/>
      <x:c r="H72" s="22"/>
      <x:c r="I72" s="22"/>
      <x:c r="J72" s="22"/>
      <x:c r="K72" s="22"/>
      <x:c r="L72" s="22"/>
      <x:c r="M72" s="22"/>
      <x:c r="N72" s="26"/>
      <x:c r="O72" s="22"/>
      <x:c r="P72" s="22" t="str">
        <x:f>IF(OR(B72="",J72="Закрыт"),"",TODAY()-B72)</x:f>
      </x:c>
    </x:row>
    <x:row r="73">
      <x:c r="A73" s="22" t="str">
        <x:f>IF(D73="","","SIG-"&amp;TEXT(ROW()-2,"0000"))</x:f>
      </x:c>
      <x:c r="B73" s="26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6"/>
      <x:c r="O73" s="22"/>
      <x:c r="P73" s="22" t="str">
        <x:f>IF(OR(B73="",J73="Закрыт"),"",TODAY()-B73)</x:f>
      </x:c>
    </x:row>
    <x:row r="74">
      <x:c r="A74" s="22" t="str">
        <x:f>IF(D74="","","SIG-"&amp;TEXT(ROW()-2,"0000"))</x:f>
      </x:c>
      <x:c r="B74" s="26"/>
      <x:c r="C74" s="22"/>
      <x:c r="D74" s="22"/>
      <x:c r="E74" s="22"/>
      <x:c r="F74" s="22"/>
      <x:c r="G74" s="22"/>
      <x:c r="H74" s="22"/>
      <x:c r="I74" s="22"/>
      <x:c r="J74" s="22"/>
      <x:c r="K74" s="22"/>
      <x:c r="L74" s="22"/>
      <x:c r="M74" s="22"/>
      <x:c r="N74" s="26"/>
      <x:c r="O74" s="22"/>
      <x:c r="P74" s="22" t="str">
        <x:f>IF(OR(B74="",J74="Закрыт"),"",TODAY()-B74)</x:f>
      </x:c>
    </x:row>
    <x:row r="75">
      <x:c r="A75" s="22" t="str">
        <x:f>IF(D75="","","SIG-"&amp;TEXT(ROW()-2,"0000"))</x:f>
      </x:c>
      <x:c r="B75" s="26"/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  <x:c r="M75" s="22"/>
      <x:c r="N75" s="26"/>
      <x:c r="O75" s="22"/>
      <x:c r="P75" s="22" t="str">
        <x:f>IF(OR(B75="",J75="Закрыт"),"",TODAY()-B75)</x:f>
      </x:c>
    </x:row>
    <x:row r="76">
      <x:c r="A76" s="22" t="str">
        <x:f>IF(D76="","","SIG-"&amp;TEXT(ROW()-2,"0000"))</x:f>
      </x:c>
      <x:c r="B76" s="26"/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  <x:c r="M76" s="22"/>
      <x:c r="N76" s="26"/>
      <x:c r="O76" s="22"/>
      <x:c r="P76" s="22" t="str">
        <x:f>IF(OR(B76="",J76="Закрыт"),"",TODAY()-B76)</x:f>
      </x:c>
    </x:row>
    <x:row r="77">
      <x:c r="A77" s="22" t="str">
        <x:f>IF(D77="","","SIG-"&amp;TEXT(ROW()-2,"0000"))</x:f>
      </x:c>
      <x:c r="B77" s="26"/>
      <x:c r="C77" s="22"/>
      <x:c r="D77" s="22"/>
      <x:c r="E77" s="22"/>
      <x:c r="F77" s="22"/>
      <x:c r="G77" s="22"/>
      <x:c r="H77" s="22"/>
      <x:c r="I77" s="22"/>
      <x:c r="J77" s="22"/>
      <x:c r="K77" s="22"/>
      <x:c r="L77" s="22"/>
      <x:c r="M77" s="22"/>
      <x:c r="N77" s="26"/>
      <x:c r="O77" s="22"/>
      <x:c r="P77" s="22" t="str">
        <x:f>IF(OR(B77="",J77="Закрыт"),"",TODAY()-B77)</x:f>
      </x:c>
    </x:row>
    <x:row r="78">
      <x:c r="A78" s="22" t="str">
        <x:f>IF(D78="","","SIG-"&amp;TEXT(ROW()-2,"0000"))</x:f>
      </x:c>
      <x:c r="B78" s="26"/>
      <x:c r="C78" s="22"/>
      <x:c r="D78" s="22"/>
      <x:c r="E78" s="22"/>
      <x:c r="F78" s="22"/>
      <x:c r="G78" s="22"/>
      <x:c r="H78" s="22"/>
      <x:c r="I78" s="22"/>
      <x:c r="J78" s="22"/>
      <x:c r="K78" s="22"/>
      <x:c r="L78" s="22"/>
      <x:c r="M78" s="22"/>
      <x:c r="N78" s="26"/>
      <x:c r="O78" s="22"/>
      <x:c r="P78" s="22" t="str">
        <x:f>IF(OR(B78="",J78="Закрыт"),"",TODAY()-B78)</x:f>
      </x:c>
    </x:row>
    <x:row r="79">
      <x:c r="A79" s="22" t="str">
        <x:f>IF(D79="","","SIG-"&amp;TEXT(ROW()-2,"0000"))</x:f>
      </x:c>
      <x:c r="B79" s="26"/>
      <x:c r="C79" s="22"/>
      <x:c r="D79" s="22"/>
      <x:c r="E79" s="22"/>
      <x:c r="F79" s="22"/>
      <x:c r="G79" s="22"/>
      <x:c r="H79" s="22"/>
      <x:c r="I79" s="22"/>
      <x:c r="J79" s="22"/>
      <x:c r="K79" s="22"/>
      <x:c r="L79" s="22"/>
      <x:c r="M79" s="22"/>
      <x:c r="N79" s="26"/>
      <x:c r="O79" s="22"/>
      <x:c r="P79" s="22" t="str">
        <x:f>IF(OR(B79="",J79="Закрыт"),"",TODAY()-B79)</x:f>
      </x:c>
    </x:row>
    <x:row r="80">
      <x:c r="A80" s="22" t="str">
        <x:f>IF(D80="","","SIG-"&amp;TEXT(ROW()-2,"0000"))</x:f>
      </x:c>
      <x:c r="B80" s="26"/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  <x:c r="M80" s="22"/>
      <x:c r="N80" s="26"/>
      <x:c r="O80" s="22"/>
      <x:c r="P80" s="22" t="str">
        <x:f>IF(OR(B80="",J80="Закрыт"),"",TODAY()-B80)</x:f>
      </x:c>
    </x:row>
    <x:row r="81">
      <x:c r="A81" s="22" t="str">
        <x:f>IF(D81="","","SIG-"&amp;TEXT(ROW()-2,"0000"))</x:f>
      </x:c>
      <x:c r="B81" s="26"/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  <x:c r="M81" s="22"/>
      <x:c r="N81" s="26"/>
      <x:c r="O81" s="22"/>
      <x:c r="P81" s="22" t="str">
        <x:f>IF(OR(B81="",J81="Закрыт"),"",TODAY()-B81)</x:f>
      </x:c>
    </x:row>
    <x:row r="82">
      <x:c r="A82" s="22" t="str">
        <x:f>IF(D82="","","SIG-"&amp;TEXT(ROW()-2,"0000"))</x:f>
      </x:c>
      <x:c r="B82" s="26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6"/>
      <x:c r="O82" s="22"/>
      <x:c r="P82" s="22" t="str">
        <x:f>IF(OR(B82="",J82="Закрыт"),"",TODAY()-B82)</x:f>
      </x:c>
    </x:row>
    <x:row r="83">
      <x:c r="A83" s="22" t="str">
        <x:f>IF(D83="","","SIG-"&amp;TEXT(ROW()-2,"0000"))</x:f>
      </x:c>
      <x:c r="B83" s="26"/>
      <x:c r="C83" s="22"/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6"/>
      <x:c r="O83" s="22"/>
      <x:c r="P83" s="22" t="str">
        <x:f>IF(OR(B83="",J83="Закрыт"),"",TODAY()-B83)</x:f>
      </x:c>
    </x:row>
    <x:row r="84">
      <x:c r="A84" s="22" t="str">
        <x:f>IF(D84="","","SIG-"&amp;TEXT(ROW()-2,"0000"))</x:f>
      </x:c>
      <x:c r="B84" s="26"/>
      <x:c r="C84" s="22"/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6"/>
      <x:c r="O84" s="22"/>
      <x:c r="P84" s="22" t="str">
        <x:f>IF(OR(B84="",J84="Закрыт"),"",TODAY()-B84)</x:f>
      </x:c>
    </x:row>
    <x:row r="85">
      <x:c r="A85" s="22" t="str">
        <x:f>IF(D85="","","SIG-"&amp;TEXT(ROW()-2,"0000"))</x:f>
      </x:c>
      <x:c r="B85" s="26"/>
      <x:c r="C85" s="22"/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6"/>
      <x:c r="O85" s="22"/>
      <x:c r="P85" s="22" t="str">
        <x:f>IF(OR(B85="",J85="Закрыт"),"",TODAY()-B85)</x:f>
      </x:c>
    </x:row>
    <x:row r="86">
      <x:c r="A86" s="22" t="str">
        <x:f>IF(D86="","","SIG-"&amp;TEXT(ROW()-2,"0000"))</x:f>
      </x:c>
      <x:c r="B86" s="26"/>
      <x:c r="C86" s="22"/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6"/>
      <x:c r="O86" s="22"/>
      <x:c r="P86" s="22" t="str">
        <x:f>IF(OR(B86="",J86="Закрыт"),"",TODAY()-B86)</x:f>
      </x:c>
    </x:row>
    <x:row r="87">
      <x:c r="A87" s="22" t="str">
        <x:f>IF(D87="","","SIG-"&amp;TEXT(ROW()-2,"0000"))</x:f>
      </x:c>
      <x:c r="B87" s="26"/>
      <x:c r="C87" s="22"/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6"/>
      <x:c r="O87" s="22"/>
      <x:c r="P87" s="22" t="str">
        <x:f>IF(OR(B87="",J87="Закрыт"),"",TODAY()-B87)</x:f>
      </x:c>
    </x:row>
    <x:row r="88">
      <x:c r="A88" s="22" t="str">
        <x:f>IF(D88="","","SIG-"&amp;TEXT(ROW()-2,"0000"))</x:f>
      </x:c>
      <x:c r="B88" s="26"/>
      <x:c r="C88" s="22"/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6"/>
      <x:c r="O88" s="22"/>
      <x:c r="P88" s="22" t="str">
        <x:f>IF(OR(B88="",J88="Закрыт"),"",TODAY()-B88)</x:f>
      </x:c>
    </x:row>
    <x:row r="89">
      <x:c r="A89" s="22" t="str">
        <x:f>IF(D89="","","SIG-"&amp;TEXT(ROW()-2,"0000"))</x:f>
      </x:c>
      <x:c r="B89" s="26"/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6"/>
      <x:c r="O89" s="22"/>
      <x:c r="P89" s="22" t="str">
        <x:f>IF(OR(B89="",J89="Закрыт"),"",TODAY()-B89)</x:f>
      </x:c>
    </x:row>
    <x:row r="90">
      <x:c r="A90" s="22" t="str">
        <x:f>IF(D90="","","SIG-"&amp;TEXT(ROW()-2,"0000"))</x:f>
      </x:c>
      <x:c r="B90" s="26"/>
      <x:c r="C90" s="22"/>
      <x:c r="D90" s="22"/>
      <x:c r="E90" s="22"/>
      <x:c r="F90" s="22"/>
      <x:c r="G90" s="22"/>
      <x:c r="H90" s="22"/>
      <x:c r="I90" s="22"/>
      <x:c r="J90" s="22"/>
      <x:c r="K90" s="22"/>
      <x:c r="L90" s="22"/>
      <x:c r="M90" s="22"/>
      <x:c r="N90" s="26"/>
      <x:c r="O90" s="22"/>
      <x:c r="P90" s="22" t="str">
        <x:f>IF(OR(B90="",J90="Закрыт"),"",TODAY()-B90)</x:f>
      </x:c>
    </x:row>
    <x:row r="91">
      <x:c r="A91" s="22" t="str">
        <x:f>IF(D91="","","SIG-"&amp;TEXT(ROW()-2,"0000"))</x:f>
      </x:c>
      <x:c r="B91" s="26"/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  <x:c r="M91" s="22"/>
      <x:c r="N91" s="26"/>
      <x:c r="O91" s="22"/>
      <x:c r="P91" s="22" t="str">
        <x:f>IF(OR(B91="",J91="Закрыт"),"",TODAY()-B91)</x:f>
      </x:c>
    </x:row>
    <x:row r="92">
      <x:c r="A92" s="22" t="str">
        <x:f>IF(D92="","","SIG-"&amp;TEXT(ROW()-2,"0000"))</x:f>
      </x:c>
      <x:c r="B92" s="26"/>
      <x:c r="C92" s="22"/>
      <x:c r="D92" s="22"/>
      <x:c r="E92" s="22"/>
      <x:c r="F92" s="22"/>
      <x:c r="G92" s="22"/>
      <x:c r="H92" s="22"/>
      <x:c r="I92" s="22"/>
      <x:c r="J92" s="22"/>
      <x:c r="K92" s="22"/>
      <x:c r="L92" s="22"/>
      <x:c r="M92" s="22"/>
      <x:c r="N92" s="26"/>
      <x:c r="O92" s="22"/>
      <x:c r="P92" s="22" t="str">
        <x:f>IF(OR(B92="",J92="Закрыт"),"",TODAY()-B92)</x:f>
      </x:c>
    </x:row>
    <x:row r="93">
      <x:c r="A93" s="22" t="str">
        <x:f>IF(D93="","","SIG-"&amp;TEXT(ROW()-2,"0000"))</x:f>
      </x:c>
      <x:c r="B93" s="26"/>
      <x:c r="C93" s="22"/>
      <x:c r="D93" s="22"/>
      <x:c r="E93" s="22"/>
      <x:c r="F93" s="22"/>
      <x:c r="G93" s="22"/>
      <x:c r="H93" s="22"/>
      <x:c r="I93" s="22"/>
      <x:c r="J93" s="22"/>
      <x:c r="K93" s="22"/>
      <x:c r="L93" s="22"/>
      <x:c r="M93" s="22"/>
      <x:c r="N93" s="26"/>
      <x:c r="O93" s="22"/>
      <x:c r="P93" s="22" t="str">
        <x:f>IF(OR(B93="",J93="Закрыт"),"",TODAY()-B93)</x:f>
      </x:c>
    </x:row>
    <x:row r="94">
      <x:c r="A94" s="22" t="str">
        <x:f>IF(D94="","","SIG-"&amp;TEXT(ROW()-2,"0000"))</x:f>
      </x:c>
      <x:c r="B94" s="26"/>
      <x:c r="C94" s="22"/>
      <x:c r="D94" s="22"/>
      <x:c r="E94" s="22"/>
      <x:c r="F94" s="22"/>
      <x:c r="G94" s="22"/>
      <x:c r="H94" s="22"/>
      <x:c r="I94" s="22"/>
      <x:c r="J94" s="22"/>
      <x:c r="K94" s="22"/>
      <x:c r="L94" s="22"/>
      <x:c r="M94" s="22"/>
      <x:c r="N94" s="26"/>
      <x:c r="O94" s="22"/>
      <x:c r="P94" s="22" t="str">
        <x:f>IF(OR(B94="",J94="Закрыт"),"",TODAY()-B94)</x:f>
      </x:c>
    </x:row>
    <x:row r="95">
      <x:c r="A95" s="22" t="str">
        <x:f>IF(D95="","","SIG-"&amp;TEXT(ROW()-2,"0000"))</x:f>
      </x:c>
      <x:c r="B95" s="26"/>
      <x:c r="C95" s="22"/>
      <x:c r="D95" s="22"/>
      <x:c r="E95" s="22"/>
      <x:c r="F95" s="22"/>
      <x:c r="G95" s="22"/>
      <x:c r="H95" s="22"/>
      <x:c r="I95" s="22"/>
      <x:c r="J95" s="22"/>
      <x:c r="K95" s="22"/>
      <x:c r="L95" s="22"/>
      <x:c r="M95" s="22"/>
      <x:c r="N95" s="26"/>
      <x:c r="O95" s="22"/>
      <x:c r="P95" s="22" t="str">
        <x:f>IF(OR(B95="",J95="Закрыт"),"",TODAY()-B95)</x:f>
      </x:c>
    </x:row>
    <x:row r="96">
      <x:c r="A96" s="22" t="str">
        <x:f>IF(D96="","","SIG-"&amp;TEXT(ROW()-2,"0000"))</x:f>
      </x:c>
      <x:c r="B96" s="26"/>
      <x:c r="C96" s="22"/>
      <x:c r="D96" s="22"/>
      <x:c r="E96" s="22"/>
      <x:c r="F96" s="22"/>
      <x:c r="G96" s="22"/>
      <x:c r="H96" s="22"/>
      <x:c r="I96" s="22"/>
      <x:c r="J96" s="22"/>
      <x:c r="K96" s="22"/>
      <x:c r="L96" s="22"/>
      <x:c r="M96" s="22"/>
      <x:c r="N96" s="26"/>
      <x:c r="O96" s="22"/>
      <x:c r="P96" s="22" t="str">
        <x:f>IF(OR(B96="",J96="Закрыт"),"",TODAY()-B96)</x:f>
      </x:c>
    </x:row>
    <x:row r="97">
      <x:c r="A97" s="22" t="str">
        <x:f>IF(D97="","","SIG-"&amp;TEXT(ROW()-2,"0000"))</x:f>
      </x:c>
      <x:c r="B97" s="26"/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  <x:c r="M97" s="22"/>
      <x:c r="N97" s="26"/>
      <x:c r="O97" s="22"/>
      <x:c r="P97" s="22" t="str">
        <x:f>IF(OR(B97="",J97="Закрыт"),"",TODAY()-B97)</x:f>
      </x:c>
    </x:row>
    <x:row r="98">
      <x:c r="A98" s="22" t="str">
        <x:f>IF(D98="","","SIG-"&amp;TEXT(ROW()-2,"0000"))</x:f>
      </x:c>
      <x:c r="B98" s="26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6"/>
      <x:c r="O98" s="22"/>
      <x:c r="P98" s="22" t="str">
        <x:f>IF(OR(B98="",J98="Закрыт"),"",TODAY()-B98)</x:f>
      </x:c>
    </x:row>
    <x:row r="99">
      <x:c r="A99" s="22" t="str">
        <x:f>IF(D99="","","SIG-"&amp;TEXT(ROW()-2,"0000"))</x:f>
      </x:c>
      <x:c r="B99" s="26"/>
      <x:c r="C99" s="22"/>
      <x:c r="D99" s="22"/>
      <x:c r="E99" s="22"/>
      <x:c r="F99" s="22"/>
      <x:c r="G99" s="22"/>
      <x:c r="H99" s="22"/>
      <x:c r="I99" s="22"/>
      <x:c r="J99" s="22"/>
      <x:c r="K99" s="22"/>
      <x:c r="L99" s="22"/>
      <x:c r="M99" s="22"/>
      <x:c r="N99" s="26"/>
      <x:c r="O99" s="22"/>
      <x:c r="P99" s="22" t="str">
        <x:f>IF(OR(B99="",J99="Закрыт"),"",TODAY()-B99)</x:f>
      </x:c>
    </x:row>
    <x:row r="100">
      <x:c r="A100" s="22" t="str">
        <x:f>IF(D100="","","SIG-"&amp;TEXT(ROW()-2,"0000"))</x:f>
      </x:c>
      <x:c r="B100" s="26"/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2"/>
      <x:c r="M100" s="22"/>
      <x:c r="N100" s="26"/>
      <x:c r="O100" s="22"/>
      <x:c r="P100" s="22" t="str">
        <x:f>IF(OR(B100="",J100="Закрыт"),"",TODAY()-B100)</x:f>
      </x:c>
    </x:row>
    <x:row r="101">
      <x:c r="A101" s="22" t="str">
        <x:f>IF(D101="","","SIG-"&amp;TEXT(ROW()-2,"0000"))</x:f>
      </x:c>
      <x:c r="B101" s="26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6"/>
      <x:c r="O101" s="22"/>
      <x:c r="P101" s="22" t="str">
        <x:f>IF(OR(B101="",J101="Закрыт"),"",TODAY()-B101)</x:f>
      </x:c>
    </x:row>
    <x:row r="102">
      <x:c r="A102" s="22" t="str">
        <x:f>IF(D102="","","SIG-"&amp;TEXT(ROW()-2,"0000"))</x:f>
      </x:c>
      <x:c r="B102" s="26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6"/>
      <x:c r="O102" s="22"/>
      <x:c r="P102" s="22" t="str">
        <x:f>IF(OR(B102="",J102="Закрыт"),"",TODAY()-B102)</x:f>
      </x:c>
    </x:row>
    <x:row r="103">
      <x:c r="A103" s="22" t="str">
        <x:f>IF(D103="","","SIG-"&amp;TEXT(ROW()-2,"0000"))</x:f>
      </x:c>
      <x:c r="B103" s="26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6"/>
      <x:c r="O103" s="22"/>
      <x:c r="P103" s="22" t="str">
        <x:f>IF(OR(B103="",J103="Закрыт"),"",TODAY()-B103)</x:f>
      </x:c>
    </x:row>
    <x:row r="104">
      <x:c r="A104" s="22" t="str">
        <x:f>IF(D104="","","SIG-"&amp;TEXT(ROW()-2,"0000"))</x:f>
      </x:c>
      <x:c r="B104" s="26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6"/>
      <x:c r="O104" s="22"/>
      <x:c r="P104" s="22" t="str">
        <x:f>IF(OR(B104="",J104="Закрыт"),"",TODAY()-B104)</x:f>
      </x:c>
    </x:row>
    <x:row r="105">
      <x:c r="A105" s="22" t="str">
        <x:f>IF(D105="","","SIG-"&amp;TEXT(ROW()-2,"0000"))</x:f>
      </x:c>
      <x:c r="B105" s="26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6"/>
      <x:c r="O105" s="22"/>
      <x:c r="P105" s="22" t="str">
        <x:f>IF(OR(B105="",J105="Закрыт"),"",TODAY()-B105)</x:f>
      </x:c>
    </x:row>
    <x:row r="106">
      <x:c r="A106" s="22" t="str">
        <x:f>IF(D106="","","SIG-"&amp;TEXT(ROW()-2,"0000"))</x:f>
      </x:c>
      <x:c r="B106" s="26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6"/>
      <x:c r="O106" s="22"/>
      <x:c r="P106" s="22" t="str">
        <x:f>IF(OR(B106="",J106="Закрыт"),"",TODAY()-B106)</x:f>
      </x:c>
    </x:row>
    <x:row r="107">
      <x:c r="A107" s="22" t="str">
        <x:f>IF(D107="","","SIG-"&amp;TEXT(ROW()-2,"0000"))</x:f>
      </x:c>
      <x:c r="B107" s="26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6"/>
      <x:c r="O107" s="22"/>
      <x:c r="P107" s="22" t="str">
        <x:f>IF(OR(B107="",J107="Закрыт"),"",TODAY()-B107)</x:f>
      </x:c>
    </x:row>
    <x:row r="108">
      <x:c r="A108" s="22" t="str">
        <x:f>IF(D108="","","SIG-"&amp;TEXT(ROW()-2,"0000"))</x:f>
      </x:c>
      <x:c r="B108" s="26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6"/>
      <x:c r="O108" s="22"/>
      <x:c r="P108" s="22" t="str">
        <x:f>IF(OR(B108="",J108="Закрыт"),"",TODAY()-B108)</x:f>
      </x:c>
    </x:row>
    <x:row r="109">
      <x:c r="A109" s="22" t="str">
        <x:f>IF(D109="","","SIG-"&amp;TEXT(ROW()-2,"0000"))</x:f>
      </x:c>
      <x:c r="B109" s="26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6"/>
      <x:c r="O109" s="22"/>
      <x:c r="P109" s="22" t="str">
        <x:f>IF(OR(B109="",J109="Закрыт"),"",TODAY()-B109)</x:f>
      </x:c>
    </x:row>
    <x:row r="110">
      <x:c r="A110" s="22" t="str">
        <x:f>IF(D110="","","SIG-"&amp;TEXT(ROW()-2,"0000"))</x:f>
      </x:c>
      <x:c r="B110" s="26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6"/>
      <x:c r="O110" s="22"/>
      <x:c r="P110" s="22" t="str">
        <x:f>IF(OR(B110="",J110="Закрыт"),"",TODAY()-B110)</x:f>
      </x:c>
    </x:row>
    <x:row r="111">
      <x:c r="A111" s="22" t="str">
        <x:f>IF(D111="","","SIG-"&amp;TEXT(ROW()-2,"0000"))</x:f>
      </x:c>
      <x:c r="B111" s="26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6"/>
      <x:c r="O111" s="22"/>
      <x:c r="P111" s="22" t="str">
        <x:f>IF(OR(B111="",J111="Закрыт"),"",TODAY()-B111)</x:f>
      </x:c>
    </x:row>
    <x:row r="112">
      <x:c r="A112" s="22" t="str">
        <x:f>IF(D112="","","SIG-"&amp;TEXT(ROW()-2,"0000"))</x:f>
      </x:c>
      <x:c r="B112" s="26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6"/>
      <x:c r="O112" s="22"/>
      <x:c r="P112" s="22" t="str">
        <x:f>IF(OR(B112="",J112="Закрыт"),"",TODAY()-B112)</x:f>
      </x:c>
    </x:row>
    <x:row r="113">
      <x:c r="A113" s="22" t="str">
        <x:f>IF(D113="","","SIG-"&amp;TEXT(ROW()-2,"0000"))</x:f>
      </x:c>
      <x:c r="B113" s="26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6"/>
      <x:c r="O113" s="22"/>
      <x:c r="P113" s="22" t="str">
        <x:f>IF(OR(B113="",J113="Закрыт"),"",TODAY()-B113)</x:f>
      </x:c>
    </x:row>
    <x:row r="114">
      <x:c r="A114" s="22" t="str">
        <x:f>IF(D114="","","SIG-"&amp;TEXT(ROW()-2,"0000"))</x:f>
      </x:c>
      <x:c r="B114" s="26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6"/>
      <x:c r="O114" s="22"/>
      <x:c r="P114" s="22" t="str">
        <x:f>IF(OR(B114="",J114="Закрыт"),"",TODAY()-B114)</x:f>
      </x:c>
    </x:row>
    <x:row r="115">
      <x:c r="A115" s="22" t="str">
        <x:f>IF(D115="","","SIG-"&amp;TEXT(ROW()-2,"0000"))</x:f>
      </x:c>
      <x:c r="B115" s="26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6"/>
      <x:c r="O115" s="22"/>
      <x:c r="P115" s="22" t="str">
        <x:f>IF(OR(B115="",J115="Закрыт"),"",TODAY()-B115)</x:f>
      </x:c>
    </x:row>
    <x:row r="116">
      <x:c r="A116" s="22" t="str">
        <x:f>IF(D116="","","SIG-"&amp;TEXT(ROW()-2,"0000"))</x:f>
      </x:c>
      <x:c r="B116" s="26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6"/>
      <x:c r="O116" s="22"/>
      <x:c r="P116" s="22" t="str">
        <x:f>IF(OR(B116="",J116="Закрыт"),"",TODAY()-B116)</x:f>
      </x:c>
    </x:row>
    <x:row r="117">
      <x:c r="A117" s="22" t="str">
        <x:f>IF(D117="","","SIG-"&amp;TEXT(ROW()-2,"0000"))</x:f>
      </x:c>
      <x:c r="B117" s="26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6"/>
      <x:c r="O117" s="22"/>
      <x:c r="P117" s="22" t="str">
        <x:f>IF(OR(B117="",J117="Закрыт"),"",TODAY()-B117)</x:f>
      </x:c>
    </x:row>
    <x:row r="118">
      <x:c r="A118" s="22" t="str">
        <x:f>IF(D118="","","SIG-"&amp;TEXT(ROW()-2,"0000"))</x:f>
      </x:c>
      <x:c r="B118" s="26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6"/>
      <x:c r="O118" s="22"/>
      <x:c r="P118" s="22" t="str">
        <x:f>IF(OR(B118="",J118="Закрыт"),"",TODAY()-B118)</x:f>
      </x:c>
    </x:row>
    <x:row r="119">
      <x:c r="A119" s="22" t="str">
        <x:f>IF(D119="","","SIG-"&amp;TEXT(ROW()-2,"0000"))</x:f>
      </x:c>
      <x:c r="B119" s="26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6"/>
      <x:c r="O119" s="22"/>
      <x:c r="P119" s="22" t="str">
        <x:f>IF(OR(B119="",J119="Закрыт"),"",TODAY()-B119)</x:f>
      </x:c>
    </x:row>
    <x:row r="120">
      <x:c r="A120" s="22" t="str">
        <x:f>IF(D120="","","SIG-"&amp;TEXT(ROW()-2,"0000"))</x:f>
      </x:c>
      <x:c r="B120" s="26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6"/>
      <x:c r="O120" s="22"/>
      <x:c r="P120" s="22" t="str">
        <x:f>IF(OR(B120="",J120="Закрыт"),"",TODAY()-B120)</x:f>
      </x:c>
    </x:row>
    <x:row r="121">
      <x:c r="A121" s="22" t="str">
        <x:f>IF(D121="","","SIG-"&amp;TEXT(ROW()-2,"0000"))</x:f>
      </x:c>
      <x:c r="B121" s="26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6"/>
      <x:c r="O121" s="22"/>
      <x:c r="P121" s="22" t="str">
        <x:f>IF(OR(B121="",J121="Закрыт"),"",TODAY()-B121)</x:f>
      </x:c>
    </x:row>
    <x:row r="122">
      <x:c r="A122" s="22" t="str">
        <x:f>IF(D122="","","SIG-"&amp;TEXT(ROW()-2,"0000"))</x:f>
      </x:c>
      <x:c r="B122" s="26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6"/>
      <x:c r="O122" s="22"/>
      <x:c r="P122" s="22" t="str">
        <x:f>IF(OR(B122="",J122="Закрыт"),"",TODAY()-B122)</x:f>
      </x:c>
    </x:row>
    <x:row r="123">
      <x:c r="A123" s="22" t="str">
        <x:f>IF(D123="","","SIG-"&amp;TEXT(ROW()-2,"0000"))</x:f>
      </x:c>
      <x:c r="B123" s="26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6"/>
      <x:c r="O123" s="22"/>
      <x:c r="P123" s="22" t="str">
        <x:f>IF(OR(B123="",J123="Закрыт"),"",TODAY()-B123)</x:f>
      </x:c>
    </x:row>
    <x:row r="124">
      <x:c r="A124" s="22" t="str">
        <x:f>IF(D124="","","SIG-"&amp;TEXT(ROW()-2,"0000"))</x:f>
      </x:c>
      <x:c r="B124" s="26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6"/>
      <x:c r="O124" s="22"/>
      <x:c r="P124" s="22" t="str">
        <x:f>IF(OR(B124="",J124="Закрыт"),"",TODAY()-B124)</x:f>
      </x:c>
    </x:row>
    <x:row r="125">
      <x:c r="A125" s="22" t="str">
        <x:f>IF(D125="","","SIG-"&amp;TEXT(ROW()-2,"0000"))</x:f>
      </x:c>
      <x:c r="B125" s="26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6"/>
      <x:c r="O125" s="22"/>
      <x:c r="P125" s="22" t="str">
        <x:f>IF(OR(B125="",J125="Закрыт"),"",TODAY()-B125)</x:f>
      </x:c>
    </x:row>
    <x:row r="126">
      <x:c r="A126" s="22" t="str">
        <x:f>IF(D126="","","SIG-"&amp;TEXT(ROW()-2,"0000"))</x:f>
      </x:c>
      <x:c r="B126" s="26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6"/>
      <x:c r="O126" s="22"/>
      <x:c r="P126" s="22" t="str">
        <x:f>IF(OR(B126="",J126="Закрыт"),"",TODAY()-B126)</x:f>
      </x:c>
    </x:row>
    <x:row r="127">
      <x:c r="A127" s="22" t="str">
        <x:f>IF(D127="","","SIG-"&amp;TEXT(ROW()-2,"0000"))</x:f>
      </x:c>
      <x:c r="B127" s="26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6"/>
      <x:c r="O127" s="22"/>
      <x:c r="P127" s="22" t="str">
        <x:f>IF(OR(B127="",J127="Закрыт"),"",TODAY()-B127)</x:f>
      </x:c>
    </x:row>
    <x:row r="128">
      <x:c r="A128" s="22" t="str">
        <x:f>IF(D128="","","SIG-"&amp;TEXT(ROW()-2,"0000"))</x:f>
      </x:c>
      <x:c r="B128" s="26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6"/>
      <x:c r="O128" s="22"/>
      <x:c r="P128" s="22" t="str">
        <x:f>IF(OR(B128="",J128="Закрыт"),"",TODAY()-B128)</x:f>
      </x:c>
    </x:row>
    <x:row r="129">
      <x:c r="A129" s="22" t="str">
        <x:f>IF(D129="","","SIG-"&amp;TEXT(ROW()-2,"0000"))</x:f>
      </x:c>
      <x:c r="B129" s="26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6"/>
      <x:c r="O129" s="22"/>
      <x:c r="P129" s="22" t="str">
        <x:f>IF(OR(B129="",J129="Закрыт"),"",TODAY()-B129)</x:f>
      </x:c>
    </x:row>
    <x:row r="130">
      <x:c r="A130" s="22" t="str">
        <x:f>IF(D130="","","SIG-"&amp;TEXT(ROW()-2,"0000"))</x:f>
      </x:c>
      <x:c r="B130" s="26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6"/>
      <x:c r="O130" s="22"/>
      <x:c r="P130" s="22" t="str">
        <x:f>IF(OR(B130="",J130="Закрыт"),"",TODAY()-B130)</x:f>
      </x:c>
    </x:row>
    <x:row r="131">
      <x:c r="A131" s="22" t="str">
        <x:f>IF(D131="","","SIG-"&amp;TEXT(ROW()-2,"0000"))</x:f>
      </x:c>
      <x:c r="B131" s="26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6"/>
      <x:c r="O131" s="22"/>
      <x:c r="P131" s="22" t="str">
        <x:f>IF(OR(B131="",J131="Закрыт"),"",TODAY()-B131)</x:f>
      </x:c>
    </x:row>
    <x:row r="132">
      <x:c r="A132" s="22" t="str">
        <x:f>IF(D132="","","SIG-"&amp;TEXT(ROW()-2,"0000"))</x:f>
      </x:c>
      <x:c r="B132" s="26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6"/>
      <x:c r="O132" s="22"/>
      <x:c r="P132" s="22" t="str">
        <x:f>IF(OR(B132="",J132="Закрыт"),"",TODAY()-B132)</x:f>
      </x:c>
    </x:row>
    <x:row r="133">
      <x:c r="A133" s="22" t="str">
        <x:f>IF(D133="","","SIG-"&amp;TEXT(ROW()-2,"0000"))</x:f>
      </x:c>
      <x:c r="B133" s="26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6"/>
      <x:c r="O133" s="22"/>
      <x:c r="P133" s="22" t="str">
        <x:f>IF(OR(B133="",J133="Закрыт"),"",TODAY()-B133)</x:f>
      </x:c>
    </x:row>
    <x:row r="134">
      <x:c r="A134" s="22" t="str">
        <x:f>IF(D134="","","SIG-"&amp;TEXT(ROW()-2,"0000"))</x:f>
      </x:c>
      <x:c r="B134" s="26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6"/>
      <x:c r="O134" s="22"/>
      <x:c r="P134" s="22" t="str">
        <x:f>IF(OR(B134="",J134="Закрыт"),"",TODAY()-B134)</x:f>
      </x:c>
    </x:row>
    <x:row r="135">
      <x:c r="A135" s="22" t="str">
        <x:f>IF(D135="","","SIG-"&amp;TEXT(ROW()-2,"0000"))</x:f>
      </x:c>
      <x:c r="B135" s="26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6"/>
      <x:c r="O135" s="22"/>
      <x:c r="P135" s="22" t="str">
        <x:f>IF(OR(B135="",J135="Закрыт"),"",TODAY()-B135)</x:f>
      </x:c>
    </x:row>
    <x:row r="136">
      <x:c r="A136" s="22" t="str">
        <x:f>IF(D136="","","SIG-"&amp;TEXT(ROW()-2,"0000"))</x:f>
      </x:c>
      <x:c r="B136" s="26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6"/>
      <x:c r="O136" s="22"/>
      <x:c r="P136" s="22" t="str">
        <x:f>IF(OR(B136="",J136="Закрыт"),"",TODAY()-B136)</x:f>
      </x:c>
    </x:row>
    <x:row r="137">
      <x:c r="A137" s="22" t="str">
        <x:f>IF(D137="","","SIG-"&amp;TEXT(ROW()-2,"0000"))</x:f>
      </x:c>
      <x:c r="B137" s="26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6"/>
      <x:c r="O137" s="22"/>
      <x:c r="P137" s="22" t="str">
        <x:f>IF(OR(B137="",J137="Закрыт"),"",TODAY()-B137)</x:f>
      </x:c>
    </x:row>
    <x:row r="138">
      <x:c r="A138" s="22" t="str">
        <x:f>IF(D138="","","SIG-"&amp;TEXT(ROW()-2,"0000"))</x:f>
      </x:c>
      <x:c r="B138" s="26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6"/>
      <x:c r="O138" s="22"/>
      <x:c r="P138" s="22" t="str">
        <x:f>IF(OR(B138="",J138="Закрыт"),"",TODAY()-B138)</x:f>
      </x:c>
    </x:row>
    <x:row r="139">
      <x:c r="A139" s="22" t="str">
        <x:f>IF(D139="","","SIG-"&amp;TEXT(ROW()-2,"0000"))</x:f>
      </x:c>
      <x:c r="B139" s="26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6"/>
      <x:c r="O139" s="22"/>
      <x:c r="P139" s="22" t="str">
        <x:f>IF(OR(B139="",J139="Закрыт"),"",TODAY()-B139)</x:f>
      </x:c>
    </x:row>
    <x:row r="140">
      <x:c r="A140" s="22" t="str">
        <x:f>IF(D140="","","SIG-"&amp;TEXT(ROW()-2,"0000"))</x:f>
      </x:c>
      <x:c r="B140" s="26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6"/>
      <x:c r="O140" s="22"/>
      <x:c r="P140" s="22" t="str">
        <x:f>IF(OR(B140="",J140="Закрыт"),"",TODAY()-B140)</x:f>
      </x:c>
    </x:row>
    <x:row r="141">
      <x:c r="A141" s="22" t="str">
        <x:f>IF(D141="","","SIG-"&amp;TEXT(ROW()-2,"0000"))</x:f>
      </x:c>
      <x:c r="B141" s="26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6"/>
      <x:c r="O141" s="22"/>
      <x:c r="P141" s="22" t="str">
        <x:f>IF(OR(B141="",J141="Закрыт"),"",TODAY()-B141)</x:f>
      </x:c>
    </x:row>
    <x:row r="142">
      <x:c r="A142" s="22" t="str">
        <x:f>IF(D142="","","SIG-"&amp;TEXT(ROW()-2,"0000"))</x:f>
      </x:c>
      <x:c r="B142" s="26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6"/>
      <x:c r="O142" s="22"/>
      <x:c r="P142" s="22" t="str">
        <x:f>IF(OR(B142="",J142="Закрыт"),"",TODAY()-B142)</x:f>
      </x:c>
    </x:row>
    <x:row r="143">
      <x:c r="A143" s="22" t="str">
        <x:f>IF(D143="","","SIG-"&amp;TEXT(ROW()-2,"0000"))</x:f>
      </x:c>
      <x:c r="B143" s="26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6"/>
      <x:c r="O143" s="22"/>
      <x:c r="P143" s="22" t="str">
        <x:f>IF(OR(B143="",J143="Закрыт"),"",TODAY()-B143)</x:f>
      </x:c>
    </x:row>
    <x:row r="144">
      <x:c r="A144" s="22" t="str">
        <x:f>IF(D144="","","SIG-"&amp;TEXT(ROW()-2,"0000"))</x:f>
      </x:c>
      <x:c r="B144" s="26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6"/>
      <x:c r="O144" s="22"/>
      <x:c r="P144" s="22" t="str">
        <x:f>IF(OR(B144="",J144="Закрыт"),"",TODAY()-B144)</x:f>
      </x:c>
    </x:row>
    <x:row r="145">
      <x:c r="A145" s="22" t="str">
        <x:f>IF(D145="","","SIG-"&amp;TEXT(ROW()-2,"0000"))</x:f>
      </x:c>
      <x:c r="B145" s="26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6"/>
      <x:c r="O145" s="22"/>
      <x:c r="P145" s="22" t="str">
        <x:f>IF(OR(B145="",J145="Закрыт"),"",TODAY()-B145)</x:f>
      </x:c>
    </x:row>
    <x:row r="146">
      <x:c r="A146" s="22" t="str">
        <x:f>IF(D146="","","SIG-"&amp;TEXT(ROW()-2,"0000"))</x:f>
      </x:c>
      <x:c r="B146" s="26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6"/>
      <x:c r="O146" s="22"/>
      <x:c r="P146" s="22" t="str">
        <x:f>IF(OR(B146="",J146="Закрыт"),"",TODAY()-B146)</x:f>
      </x:c>
    </x:row>
    <x:row r="147">
      <x:c r="A147" s="22" t="str">
        <x:f>IF(D147="","","SIG-"&amp;TEXT(ROW()-2,"0000"))</x:f>
      </x:c>
      <x:c r="B147" s="26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6"/>
      <x:c r="O147" s="22"/>
      <x:c r="P147" s="22" t="str">
        <x:f>IF(OR(B147="",J147="Закрыт"),"",TODAY()-B147)</x:f>
      </x:c>
    </x:row>
    <x:row r="148">
      <x:c r="A148" s="22" t="str">
        <x:f>IF(D148="","","SIG-"&amp;TEXT(ROW()-2,"0000"))</x:f>
      </x:c>
      <x:c r="B148" s="26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6"/>
      <x:c r="O148" s="22"/>
      <x:c r="P148" s="22" t="str">
        <x:f>IF(OR(B148="",J148="Закрыт"),"",TODAY()-B148)</x:f>
      </x:c>
    </x:row>
    <x:row r="149">
      <x:c r="A149" s="22" t="str">
        <x:f>IF(D149="","","SIG-"&amp;TEXT(ROW()-2,"0000"))</x:f>
      </x:c>
      <x:c r="B149" s="26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6"/>
      <x:c r="O149" s="22"/>
      <x:c r="P149" s="22" t="str">
        <x:f>IF(OR(B149="",J149="Закрыт"),"",TODAY()-B149)</x:f>
      </x:c>
    </x:row>
    <x:row r="150">
      <x:c r="A150" s="22" t="str">
        <x:f>IF(D150="","","SIG-"&amp;TEXT(ROW()-2,"0000"))</x:f>
      </x:c>
      <x:c r="B150" s="26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6"/>
      <x:c r="O150" s="22"/>
      <x:c r="P150" s="22" t="str">
        <x:f>IF(OR(B150="",J150="Закрыт"),"",TODAY()-B150)</x:f>
      </x:c>
    </x:row>
    <x:row r="151">
      <x:c r="A151" s="22" t="str">
        <x:f>IF(D151="","","SIG-"&amp;TEXT(ROW()-2,"0000"))</x:f>
      </x:c>
      <x:c r="B151" s="26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6"/>
      <x:c r="O151" s="22"/>
      <x:c r="P151" s="22" t="str">
        <x:f>IF(OR(B151="",J151="Закрыт"),"",TODAY()-B151)</x:f>
      </x:c>
    </x:row>
    <x:row r="152">
      <x:c r="A152" s="22" t="str">
        <x:f>IF(D152="","","SIG-"&amp;TEXT(ROW()-2,"0000"))</x:f>
      </x:c>
      <x:c r="B152" s="26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6"/>
      <x:c r="O152" s="22"/>
      <x:c r="P152" s="22" t="str">
        <x:f>IF(OR(B152="",J152="Закрыт"),"",TODAY()-B152)</x:f>
      </x:c>
    </x:row>
    <x:row r="153">
      <x:c r="A153" s="22" t="str">
        <x:f>IF(D153="","","SIG-"&amp;TEXT(ROW()-2,"0000"))</x:f>
      </x:c>
      <x:c r="B153" s="26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6"/>
      <x:c r="O153" s="22"/>
      <x:c r="P153" s="22" t="str">
        <x:f>IF(OR(B153="",J153="Закрыт"),"",TODAY()-B153)</x:f>
      </x:c>
    </x:row>
    <x:row r="154">
      <x:c r="A154" s="22" t="str">
        <x:f>IF(D154="","","SIG-"&amp;TEXT(ROW()-2,"0000"))</x:f>
      </x:c>
      <x:c r="B154" s="26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6"/>
      <x:c r="O154" s="22"/>
      <x:c r="P154" s="22" t="str">
        <x:f>IF(OR(B154="",J154="Закрыт"),"",TODAY()-B154)</x:f>
      </x:c>
    </x:row>
    <x:row r="155">
      <x:c r="A155" s="22" t="str">
        <x:f>IF(D155="","","SIG-"&amp;TEXT(ROW()-2,"0000"))</x:f>
      </x:c>
      <x:c r="B155" s="26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6"/>
      <x:c r="O155" s="22"/>
      <x:c r="P155" s="22" t="str">
        <x:f>IF(OR(B155="",J155="Закрыт"),"",TODAY()-B155)</x:f>
      </x:c>
    </x:row>
    <x:row r="156">
      <x:c r="A156" s="22" t="str">
        <x:f>IF(D156="","","SIG-"&amp;TEXT(ROW()-2,"0000"))</x:f>
      </x:c>
      <x:c r="B156" s="26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6"/>
      <x:c r="O156" s="22"/>
      <x:c r="P156" s="22" t="str">
        <x:f>IF(OR(B156="",J156="Закрыт"),"",TODAY()-B156)</x:f>
      </x:c>
    </x:row>
    <x:row r="157">
      <x:c r="A157" s="22" t="str">
        <x:f>IF(D157="","","SIG-"&amp;TEXT(ROW()-2,"0000"))</x:f>
      </x:c>
      <x:c r="B157" s="26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6"/>
      <x:c r="O157" s="22"/>
      <x:c r="P157" s="22" t="str">
        <x:f>IF(OR(B157="",J157="Закрыт"),"",TODAY()-B157)</x:f>
      </x:c>
    </x:row>
    <x:row r="158">
      <x:c r="A158" s="22" t="str">
        <x:f>IF(D158="","","SIG-"&amp;TEXT(ROW()-2,"0000"))</x:f>
      </x:c>
      <x:c r="B158" s="26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6"/>
      <x:c r="O158" s="22"/>
      <x:c r="P158" s="22" t="str">
        <x:f>IF(OR(B158="",J158="Закрыт"),"",TODAY()-B158)</x:f>
      </x:c>
    </x:row>
    <x:row r="159">
      <x:c r="A159" s="22" t="str">
        <x:f>IF(D159="","","SIG-"&amp;TEXT(ROW()-2,"0000"))</x:f>
      </x:c>
      <x:c r="B159" s="26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6"/>
      <x:c r="O159" s="22"/>
      <x:c r="P159" s="22" t="str">
        <x:f>IF(OR(B159="",J159="Закрыт"),"",TODAY()-B159)</x:f>
      </x:c>
    </x:row>
    <x:row r="160">
      <x:c r="A160" s="22" t="str">
        <x:f>IF(D160="","","SIG-"&amp;TEXT(ROW()-2,"0000"))</x:f>
      </x:c>
      <x:c r="B160" s="26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6"/>
      <x:c r="O160" s="22"/>
      <x:c r="P160" s="22" t="str">
        <x:f>IF(OR(B160="",J160="Закрыт"),"",TODAY()-B160)</x:f>
      </x:c>
    </x:row>
    <x:row r="161">
      <x:c r="A161" s="22" t="str">
        <x:f>IF(D161="","","SIG-"&amp;TEXT(ROW()-2,"0000"))</x:f>
      </x:c>
      <x:c r="B161" s="26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6"/>
      <x:c r="O161" s="22"/>
      <x:c r="P161" s="22" t="str">
        <x:f>IF(OR(B161="",J161="Закрыт"),"",TODAY()-B161)</x:f>
      </x:c>
    </x:row>
    <x:row r="162">
      <x:c r="A162" s="22" t="str">
        <x:f>IF(D162="","","SIG-"&amp;TEXT(ROW()-2,"0000"))</x:f>
      </x:c>
      <x:c r="B162" s="26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6"/>
      <x:c r="O162" s="22"/>
      <x:c r="P162" s="22" t="str">
        <x:f>IF(OR(B162="",J162="Закрыт"),"",TODAY()-B162)</x:f>
      </x:c>
    </x:row>
    <x:row r="163">
      <x:c r="A163" s="22" t="str">
        <x:f>IF(D163="","","SIG-"&amp;TEXT(ROW()-2,"0000"))</x:f>
      </x:c>
      <x:c r="B163" s="26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6"/>
      <x:c r="O163" s="22"/>
      <x:c r="P163" s="22" t="str">
        <x:f>IF(OR(B163="",J163="Закрыт"),"",TODAY()-B163)</x:f>
      </x:c>
    </x:row>
    <x:row r="164">
      <x:c r="A164" s="22" t="str">
        <x:f>IF(D164="","","SIG-"&amp;TEXT(ROW()-2,"0000"))</x:f>
      </x:c>
      <x:c r="B164" s="26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6"/>
      <x:c r="O164" s="22"/>
      <x:c r="P164" s="22" t="str">
        <x:f>IF(OR(B164="",J164="Закрыт"),"",TODAY()-B164)</x:f>
      </x:c>
    </x:row>
    <x:row r="165">
      <x:c r="A165" s="22" t="str">
        <x:f>IF(D165="","","SIG-"&amp;TEXT(ROW()-2,"0000"))</x:f>
      </x:c>
      <x:c r="B165" s="26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6"/>
      <x:c r="O165" s="22"/>
      <x:c r="P165" s="22" t="str">
        <x:f>IF(OR(B165="",J165="Закрыт"),"",TODAY()-B165)</x:f>
      </x:c>
    </x:row>
    <x:row r="166">
      <x:c r="A166" s="22" t="str">
        <x:f>IF(D166="","","SIG-"&amp;TEXT(ROW()-2,"0000"))</x:f>
      </x:c>
      <x:c r="B166" s="26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6"/>
      <x:c r="O166" s="22"/>
      <x:c r="P166" s="22" t="str">
        <x:f>IF(OR(B166="",J166="Закрыт"),"",TODAY()-B166)</x:f>
      </x:c>
    </x:row>
    <x:row r="167">
      <x:c r="A167" s="22" t="str">
        <x:f>IF(D167="","","SIG-"&amp;TEXT(ROW()-2,"0000"))</x:f>
      </x:c>
      <x:c r="B167" s="26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6"/>
      <x:c r="O167" s="22"/>
      <x:c r="P167" s="22" t="str">
        <x:f>IF(OR(B167="",J167="Закрыт"),"",TODAY()-B167)</x:f>
      </x:c>
    </x:row>
    <x:row r="168">
      <x:c r="A168" s="22" t="str">
        <x:f>IF(D168="","","SIG-"&amp;TEXT(ROW()-2,"0000"))</x:f>
      </x:c>
      <x:c r="B168" s="26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6"/>
      <x:c r="O168" s="22"/>
      <x:c r="P168" s="22" t="str">
        <x:f>IF(OR(B168="",J168="Закрыт"),"",TODAY()-B168)</x:f>
      </x:c>
    </x:row>
    <x:row r="169">
      <x:c r="A169" s="22" t="str">
        <x:f>IF(D169="","","SIG-"&amp;TEXT(ROW()-2,"0000"))</x:f>
      </x:c>
      <x:c r="B169" s="26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6"/>
      <x:c r="O169" s="22"/>
      <x:c r="P169" s="22" t="str">
        <x:f>IF(OR(B169="",J169="Закрыт"),"",TODAY()-B169)</x:f>
      </x:c>
    </x:row>
    <x:row r="170">
      <x:c r="A170" s="22" t="str">
        <x:f>IF(D170="","","SIG-"&amp;TEXT(ROW()-2,"0000"))</x:f>
      </x:c>
      <x:c r="B170" s="26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6"/>
      <x:c r="O170" s="22"/>
      <x:c r="P170" s="22" t="str">
        <x:f>IF(OR(B170="",J170="Закрыт"),"",TODAY()-B170)</x:f>
      </x:c>
    </x:row>
    <x:row r="171">
      <x:c r="A171" s="22" t="str">
        <x:f>IF(D171="","","SIG-"&amp;TEXT(ROW()-2,"0000"))</x:f>
      </x:c>
      <x:c r="B171" s="26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6"/>
      <x:c r="O171" s="22"/>
      <x:c r="P171" s="22" t="str">
        <x:f>IF(OR(B171="",J171="Закрыт"),"",TODAY()-B171)</x:f>
      </x:c>
    </x:row>
    <x:row r="172">
      <x:c r="A172" s="22" t="str">
        <x:f>IF(D172="","","SIG-"&amp;TEXT(ROW()-2,"0000"))</x:f>
      </x:c>
      <x:c r="B172" s="26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6"/>
      <x:c r="O172" s="22"/>
      <x:c r="P172" s="22" t="str">
        <x:f>IF(OR(B172="",J172="Закрыт"),"",TODAY()-B172)</x:f>
      </x:c>
    </x:row>
    <x:row r="173">
      <x:c r="A173" s="22" t="str">
        <x:f>IF(D173="","","SIG-"&amp;TEXT(ROW()-2,"0000"))</x:f>
      </x:c>
      <x:c r="B173" s="26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6"/>
      <x:c r="O173" s="22"/>
      <x:c r="P173" s="22" t="str">
        <x:f>IF(OR(B173="",J173="Закрыт"),"",TODAY()-B173)</x:f>
      </x:c>
    </x:row>
    <x:row r="174">
      <x:c r="A174" s="22" t="str">
        <x:f>IF(D174="","","SIG-"&amp;TEXT(ROW()-2,"0000"))</x:f>
      </x:c>
      <x:c r="B174" s="26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6"/>
      <x:c r="O174" s="22"/>
      <x:c r="P174" s="22" t="str">
        <x:f>IF(OR(B174="",J174="Закрыт"),"",TODAY()-B174)</x:f>
      </x:c>
    </x:row>
    <x:row r="175">
      <x:c r="A175" s="22" t="str">
        <x:f>IF(D175="","","SIG-"&amp;TEXT(ROW()-2,"0000"))</x:f>
      </x:c>
      <x:c r="B175" s="26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6"/>
      <x:c r="O175" s="22"/>
      <x:c r="P175" s="22" t="str">
        <x:f>IF(OR(B175="",J175="Закрыт"),"",TODAY()-B175)</x:f>
      </x:c>
    </x:row>
    <x:row r="176">
      <x:c r="A176" s="22" t="str">
        <x:f>IF(D176="","","SIG-"&amp;TEXT(ROW()-2,"0000"))</x:f>
      </x:c>
      <x:c r="B176" s="26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6"/>
      <x:c r="O176" s="22"/>
      <x:c r="P176" s="22" t="str">
        <x:f>IF(OR(B176="",J176="Закрыт"),"",TODAY()-B176)</x:f>
      </x:c>
    </x:row>
    <x:row r="177">
      <x:c r="A177" s="22" t="str">
        <x:f>IF(D177="","","SIG-"&amp;TEXT(ROW()-2,"0000"))</x:f>
      </x:c>
      <x:c r="B177" s="26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6"/>
      <x:c r="O177" s="22"/>
      <x:c r="P177" s="22" t="str">
        <x:f>IF(OR(B177="",J177="Закрыт"),"",TODAY()-B177)</x:f>
      </x:c>
    </x:row>
    <x:row r="178">
      <x:c r="A178" s="22" t="str">
        <x:f>IF(D178="","","SIG-"&amp;TEXT(ROW()-2,"0000"))</x:f>
      </x:c>
      <x:c r="B178" s="26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6"/>
      <x:c r="O178" s="22"/>
      <x:c r="P178" s="22" t="str">
        <x:f>IF(OR(B178="",J178="Закрыт"),"",TODAY()-B178)</x:f>
      </x:c>
    </x:row>
    <x:row r="179">
      <x:c r="A179" s="22" t="str">
        <x:f>IF(D179="","","SIG-"&amp;TEXT(ROW()-2,"0000"))</x:f>
      </x:c>
      <x:c r="B179" s="26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6"/>
      <x:c r="O179" s="22"/>
      <x:c r="P179" s="22" t="str">
        <x:f>IF(OR(B179="",J179="Закрыт"),"",TODAY()-B179)</x:f>
      </x:c>
    </x:row>
    <x:row r="180">
      <x:c r="A180" s="22" t="str">
        <x:f>IF(D180="","","SIG-"&amp;TEXT(ROW()-2,"0000"))</x:f>
      </x:c>
      <x:c r="B180" s="26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6"/>
      <x:c r="O180" s="22"/>
      <x:c r="P180" s="22" t="str">
        <x:f>IF(OR(B180="",J180="Закрыт"),"",TODAY()-B180)</x:f>
      </x:c>
    </x:row>
    <x:row r="181">
      <x:c r="A181" s="22" t="str">
        <x:f>IF(D181="","","SIG-"&amp;TEXT(ROW()-2,"0000"))</x:f>
      </x:c>
      <x:c r="B181" s="26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6"/>
      <x:c r="O181" s="22"/>
      <x:c r="P181" s="22" t="str">
        <x:f>IF(OR(B181="",J181="Закрыт"),"",TODAY()-B181)</x:f>
      </x:c>
    </x:row>
    <x:row r="182">
      <x:c r="A182" s="22" t="str">
        <x:f>IF(D182="","","SIG-"&amp;TEXT(ROW()-2,"0000"))</x:f>
      </x:c>
      <x:c r="B182" s="26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6"/>
      <x:c r="O182" s="22"/>
      <x:c r="P182" s="22" t="str">
        <x:f>IF(OR(B182="",J182="Закрыт"),"",TODAY()-B182)</x:f>
      </x:c>
    </x:row>
    <x:row r="183">
      <x:c r="A183" s="22" t="str">
        <x:f>IF(D183="","","SIG-"&amp;TEXT(ROW()-2,"0000"))</x:f>
      </x:c>
      <x:c r="B183" s="26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6"/>
      <x:c r="O183" s="22"/>
      <x:c r="P183" s="22" t="str">
        <x:f>IF(OR(B183="",J183="Закрыт"),"",TODAY()-B183)</x:f>
      </x:c>
    </x:row>
    <x:row r="184">
      <x:c r="A184" s="22" t="str">
        <x:f>IF(D184="","","SIG-"&amp;TEXT(ROW()-2,"0000"))</x:f>
      </x:c>
      <x:c r="B184" s="26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6"/>
      <x:c r="O184" s="22"/>
      <x:c r="P184" s="22" t="str">
        <x:f>IF(OR(B184="",J184="Закрыт"),"",TODAY()-B184)</x:f>
      </x:c>
    </x:row>
    <x:row r="185">
      <x:c r="A185" s="22" t="str">
        <x:f>IF(D185="","","SIG-"&amp;TEXT(ROW()-2,"0000"))</x:f>
      </x:c>
      <x:c r="B185" s="26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6"/>
      <x:c r="O185" s="22"/>
      <x:c r="P185" s="22" t="str">
        <x:f>IF(OR(B185="",J185="Закрыт"),"",TODAY()-B185)</x:f>
      </x:c>
    </x:row>
    <x:row r="186">
      <x:c r="A186" s="22" t="str">
        <x:f>IF(D186="","","SIG-"&amp;TEXT(ROW()-2,"0000"))</x:f>
      </x:c>
      <x:c r="B186" s="26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6"/>
      <x:c r="O186" s="22"/>
      <x:c r="P186" s="22" t="str">
        <x:f>IF(OR(B186="",J186="Закрыт"),"",TODAY()-B186)</x:f>
      </x:c>
    </x:row>
    <x:row r="187">
      <x:c r="A187" s="22" t="str">
        <x:f>IF(D187="","","SIG-"&amp;TEXT(ROW()-2,"0000"))</x:f>
      </x:c>
      <x:c r="B187" s="26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6"/>
      <x:c r="O187" s="22"/>
      <x:c r="P187" s="22" t="str">
        <x:f>IF(OR(B187="",J187="Закрыт"),"",TODAY()-B187)</x:f>
      </x:c>
    </x:row>
    <x:row r="188">
      <x:c r="A188" s="22" t="str">
        <x:f>IF(D188="","","SIG-"&amp;TEXT(ROW()-2,"0000"))</x:f>
      </x:c>
      <x:c r="B188" s="26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6"/>
      <x:c r="O188" s="22"/>
      <x:c r="P188" s="22" t="str">
        <x:f>IF(OR(B188="",J188="Закрыт"),"",TODAY()-B188)</x:f>
      </x:c>
    </x:row>
    <x:row r="189">
      <x:c r="A189" s="22" t="str">
        <x:f>IF(D189="","","SIG-"&amp;TEXT(ROW()-2,"0000"))</x:f>
      </x:c>
      <x:c r="B189" s="26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6"/>
      <x:c r="O189" s="22"/>
      <x:c r="P189" s="22" t="str">
        <x:f>IF(OR(B189="",J189="Закрыт"),"",TODAY()-B189)</x:f>
      </x:c>
    </x:row>
    <x:row r="190">
      <x:c r="A190" s="22" t="str">
        <x:f>IF(D190="","","SIG-"&amp;TEXT(ROW()-2,"0000"))</x:f>
      </x:c>
      <x:c r="B190" s="26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6"/>
      <x:c r="O190" s="22"/>
      <x:c r="P190" s="22" t="str">
        <x:f>IF(OR(B190="",J190="Закрыт"),"",TODAY()-B190)</x:f>
      </x:c>
    </x:row>
    <x:row r="191">
      <x:c r="A191" s="22" t="str">
        <x:f>IF(D191="","","SIG-"&amp;TEXT(ROW()-2,"0000"))</x:f>
      </x:c>
      <x:c r="B191" s="26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6"/>
      <x:c r="O191" s="22"/>
      <x:c r="P191" s="22" t="str">
        <x:f>IF(OR(B191="",J191="Закрыт"),"",TODAY()-B191)</x:f>
      </x:c>
    </x:row>
    <x:row r="192">
      <x:c r="A192" s="22" t="str">
        <x:f>IF(D192="","","SIG-"&amp;TEXT(ROW()-2,"0000"))</x:f>
      </x:c>
      <x:c r="B192" s="26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6"/>
      <x:c r="O192" s="22"/>
      <x:c r="P192" s="22" t="str">
        <x:f>IF(OR(B192="",J192="Закрыт"),"",TODAY()-B192)</x:f>
      </x:c>
    </x:row>
    <x:row r="193">
      <x:c r="A193" s="22" t="str">
        <x:f>IF(D193="","","SIG-"&amp;TEXT(ROW()-2,"0000"))</x:f>
      </x:c>
      <x:c r="B193" s="26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6"/>
      <x:c r="O193" s="22"/>
      <x:c r="P193" s="22" t="str">
        <x:f>IF(OR(B193="",J193="Закрыт"),"",TODAY()-B193)</x:f>
      </x:c>
    </x:row>
    <x:row r="194">
      <x:c r="A194" s="22" t="str">
        <x:f>IF(D194="","","SIG-"&amp;TEXT(ROW()-2,"0000"))</x:f>
      </x:c>
      <x:c r="B194" s="26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6"/>
      <x:c r="O194" s="22"/>
      <x:c r="P194" s="22" t="str">
        <x:f>IF(OR(B194="",J194="Закрыт"),"",TODAY()-B194)</x:f>
      </x:c>
    </x:row>
    <x:row r="195">
      <x:c r="A195" s="22" t="str">
        <x:f>IF(D195="","","SIG-"&amp;TEXT(ROW()-2,"0000"))</x:f>
      </x:c>
      <x:c r="B195" s="26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6"/>
      <x:c r="O195" s="22"/>
      <x:c r="P195" s="22" t="str">
        <x:f>IF(OR(B195="",J195="Закрыт"),"",TODAY()-B195)</x:f>
      </x:c>
    </x:row>
    <x:row r="196">
      <x:c r="A196" s="22" t="str">
        <x:f>IF(D196="","","SIG-"&amp;TEXT(ROW()-2,"0000"))</x:f>
      </x:c>
      <x:c r="B196" s="26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6"/>
      <x:c r="O196" s="22"/>
      <x:c r="P196" s="22" t="str">
        <x:f>IF(OR(B196="",J196="Закрыт"),"",TODAY()-B196)</x:f>
      </x:c>
    </x:row>
    <x:row r="197">
      <x:c r="A197" s="22" t="str">
        <x:f>IF(D197="","","SIG-"&amp;TEXT(ROW()-2,"0000"))</x:f>
      </x:c>
      <x:c r="B197" s="26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6"/>
      <x:c r="O197" s="22"/>
      <x:c r="P197" s="22" t="str">
        <x:f>IF(OR(B197="",J197="Закрыт"),"",TODAY()-B197)</x:f>
      </x:c>
    </x:row>
    <x:row r="198">
      <x:c r="A198" s="22" t="str">
        <x:f>IF(D198="","","SIG-"&amp;TEXT(ROW()-2,"0000"))</x:f>
      </x:c>
      <x:c r="B198" s="26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6"/>
      <x:c r="O198" s="22"/>
      <x:c r="P198" s="22" t="str">
        <x:f>IF(OR(B198="",J198="Закрыт"),"",TODAY()-B198)</x:f>
      </x:c>
    </x:row>
    <x:row r="199">
      <x:c r="A199" s="22" t="str">
        <x:f>IF(D199="","","SIG-"&amp;TEXT(ROW()-2,"0000"))</x:f>
      </x:c>
      <x:c r="B199" s="26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6"/>
      <x:c r="O199" s="22"/>
      <x:c r="P199" s="22" t="str">
        <x:f>IF(OR(B199="",J199="Закрыт"),"",TODAY()-B199)</x:f>
      </x:c>
    </x:row>
    <x:row r="200">
      <x:c r="A200" s="22" t="str">
        <x:f>IF(D200="","","SIG-"&amp;TEXT(ROW()-2,"0000"))</x:f>
      </x:c>
      <x:c r="B200" s="26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6"/>
      <x:c r="O200" s="22"/>
      <x:c r="P200" s="22" t="str">
        <x:f>IF(OR(B200="",J200="Закрыт"),"",TODAY()-B200)</x:f>
      </x:c>
    </x:row>
    <x:row r="201">
      <x:c r="A201" s="22" t="str">
        <x:f>IF(D201="","","SIG-"&amp;TEXT(ROW()-2,"0000"))</x:f>
      </x:c>
      <x:c r="B201" s="26"/>
      <x:c r="C201" s="22"/>
      <x:c r="D201" s="22"/>
      <x:c r="E201" s="22"/>
      <x:c r="F201" s="22"/>
      <x:c r="G201" s="22"/>
      <x:c r="H201" s="22"/>
      <x:c r="I201" s="22"/>
      <x:c r="J201" s="22"/>
      <x:c r="K201" s="22"/>
      <x:c r="L201" s="22"/>
      <x:c r="M201" s="22"/>
      <x:c r="N201" s="26"/>
      <x:c r="O201" s="22"/>
      <x:c r="P201" s="22" t="str">
        <x:f>IF(OR(B201="",J201="Закрыт"),"",TODAY()-B201)</x:f>
      </x:c>
    </x:row>
    <x:row r="202">
      <x:c r="A202" s="22" t="str">
        <x:f>IF(D202="","","SIG-"&amp;TEXT(ROW()-2,"0000"))</x:f>
      </x:c>
      <x:c r="B202" s="26"/>
      <x:c r="C202" s="22"/>
      <x:c r="D202" s="22"/>
      <x:c r="E202" s="22"/>
      <x:c r="F202" s="22"/>
      <x:c r="G202" s="22"/>
      <x:c r="H202" s="22"/>
      <x:c r="I202" s="22"/>
      <x:c r="J202" s="22"/>
      <x:c r="K202" s="22"/>
      <x:c r="L202" s="22"/>
      <x:c r="M202" s="22"/>
      <x:c r="N202" s="26"/>
      <x:c r="O202" s="22"/>
      <x:c r="P202" s="22" t="str">
        <x:f>IF(OR(B202="",J202="Закрыт"),"",TODAY()-B202)</x:f>
      </x:c>
    </x:row>
    <x:row r="203">
      <x:c r="A203" s="22" t="str">
        <x:f>IF(D203="","","SIG-"&amp;TEXT(ROW()-2,"0000"))</x:f>
      </x:c>
      <x:c r="B203" s="26"/>
      <x:c r="C203" s="22"/>
      <x:c r="D203" s="22"/>
      <x:c r="E203" s="22"/>
      <x:c r="F203" s="22"/>
      <x:c r="G203" s="22"/>
      <x:c r="H203" s="22"/>
      <x:c r="I203" s="22"/>
      <x:c r="J203" s="22"/>
      <x:c r="K203" s="22"/>
      <x:c r="L203" s="22"/>
      <x:c r="M203" s="22"/>
      <x:c r="N203" s="26"/>
      <x:c r="O203" s="22"/>
      <x:c r="P203" s="22" t="str">
        <x:f>IF(OR(B203="",J203="Закрыт"),"",TODAY()-B203)</x:f>
      </x:c>
    </x:row>
    <x:row r="204">
      <x:c r="A204" s="22" t="str">
        <x:f>IF(D204="","","SIG-"&amp;TEXT(ROW()-2,"0000"))</x:f>
      </x:c>
      <x:c r="B204" s="26"/>
      <x:c r="C204" s="22"/>
      <x:c r="D204" s="22"/>
      <x:c r="E204" s="22"/>
      <x:c r="F204" s="22"/>
      <x:c r="G204" s="22"/>
      <x:c r="H204" s="22"/>
      <x:c r="I204" s="22"/>
      <x:c r="J204" s="22"/>
      <x:c r="K204" s="22"/>
      <x:c r="L204" s="22"/>
      <x:c r="M204" s="22"/>
      <x:c r="N204" s="26"/>
      <x:c r="O204" s="22"/>
      <x:c r="P204" s="22" t="str">
        <x:f>IF(OR(B204="",J204="Закрыт"),"",TODAY()-B204)</x:f>
      </x:c>
    </x:row>
    <x:row r="205">
      <x:c r="A205" s="22" t="str">
        <x:f>IF(D205="","","SIG-"&amp;TEXT(ROW()-2,"0000"))</x:f>
      </x:c>
      <x:c r="B205" s="26"/>
      <x:c r="C205" s="22"/>
      <x:c r="D205" s="22"/>
      <x:c r="E205" s="22"/>
      <x:c r="F205" s="22"/>
      <x:c r="G205" s="22"/>
      <x:c r="H205" s="22"/>
      <x:c r="I205" s="22"/>
      <x:c r="J205" s="22"/>
      <x:c r="K205" s="22"/>
      <x:c r="L205" s="22"/>
      <x:c r="M205" s="22"/>
      <x:c r="N205" s="26"/>
      <x:c r="O205" s="22"/>
      <x:c r="P205" s="22" t="str">
        <x:f>IF(OR(B205="",J205="Закрыт"),"",TODAY()-B205)</x:f>
      </x:c>
    </x:row>
    <x:row r="206">
      <x:c r="A206" s="22" t="str">
        <x:f>IF(D206="","","SIG-"&amp;TEXT(ROW()-2,"0000"))</x:f>
      </x:c>
      <x:c r="B206" s="26"/>
      <x:c r="C206" s="22"/>
      <x:c r="D206" s="22"/>
      <x:c r="E206" s="22"/>
      <x:c r="F206" s="22"/>
      <x:c r="G206" s="22"/>
      <x:c r="H206" s="22"/>
      <x:c r="I206" s="22"/>
      <x:c r="J206" s="22"/>
      <x:c r="K206" s="22"/>
      <x:c r="L206" s="22"/>
      <x:c r="M206" s="22"/>
      <x:c r="N206" s="26"/>
      <x:c r="O206" s="22"/>
      <x:c r="P206" s="22" t="str">
        <x:f>IF(OR(B206="",J206="Закрыт"),"",TODAY()-B206)</x:f>
      </x:c>
    </x:row>
    <x:row r="207">
      <x:c r="A207" s="22" t="str">
        <x:f>IF(D207="","","SIG-"&amp;TEXT(ROW()-2,"0000"))</x:f>
      </x:c>
      <x:c r="B207" s="26"/>
      <x:c r="C207" s="22"/>
      <x:c r="D207" s="22"/>
      <x:c r="E207" s="22"/>
      <x:c r="F207" s="22"/>
      <x:c r="G207" s="22"/>
      <x:c r="H207" s="22"/>
      <x:c r="I207" s="22"/>
      <x:c r="J207" s="22"/>
      <x:c r="K207" s="22"/>
      <x:c r="L207" s="22"/>
      <x:c r="M207" s="22"/>
      <x:c r="N207" s="26"/>
      <x:c r="O207" s="22"/>
      <x:c r="P207" s="22" t="str">
        <x:f>IF(OR(B207="",J207="Закрыт"),"",TODAY()-B207)</x:f>
      </x:c>
    </x:row>
    <x:row r="208">
      <x:c r="A208" s="22" t="str">
        <x:f>IF(D208="","","SIG-"&amp;TEXT(ROW()-2,"0000"))</x:f>
      </x:c>
      <x:c r="B208" s="26"/>
      <x:c r="C208" s="22"/>
      <x:c r="D208" s="22"/>
      <x:c r="E208" s="22"/>
      <x:c r="F208" s="22"/>
      <x:c r="G208" s="22"/>
      <x:c r="H208" s="22"/>
      <x:c r="I208" s="22"/>
      <x:c r="J208" s="22"/>
      <x:c r="K208" s="22"/>
      <x:c r="L208" s="22"/>
      <x:c r="M208" s="22"/>
      <x:c r="N208" s="26"/>
      <x:c r="O208" s="22"/>
      <x:c r="P208" s="22" t="str">
        <x:f>IF(OR(B208="",J208="Закрыт"),"",TODAY()-B208)</x:f>
      </x:c>
    </x:row>
    <x:row r="209">
      <x:c r="A209" s="22" t="str">
        <x:f>IF(D209="","","SIG-"&amp;TEXT(ROW()-2,"0000"))</x:f>
      </x:c>
      <x:c r="B209" s="26"/>
      <x:c r="C209" s="22"/>
      <x:c r="D209" s="22"/>
      <x:c r="E209" s="22"/>
      <x:c r="F209" s="22"/>
      <x:c r="G209" s="22"/>
      <x:c r="H209" s="22"/>
      <x:c r="I209" s="22"/>
      <x:c r="J209" s="22"/>
      <x:c r="K209" s="22"/>
      <x:c r="L209" s="22"/>
      <x:c r="M209" s="22"/>
      <x:c r="N209" s="26"/>
      <x:c r="O209" s="22"/>
      <x:c r="P209" s="22" t="str">
        <x:f>IF(OR(B209="",J209="Закрыт"),"",TODAY()-B209)</x:f>
      </x:c>
    </x:row>
    <x:row r="210">
      <x:c r="A210" s="22" t="str">
        <x:f>IF(D210="","","SIG-"&amp;TEXT(ROW()-2,"0000"))</x:f>
      </x:c>
      <x:c r="B210" s="26"/>
      <x:c r="C210" s="22"/>
      <x:c r="D210" s="22"/>
      <x:c r="E210" s="22"/>
      <x:c r="F210" s="22"/>
      <x:c r="G210" s="22"/>
      <x:c r="H210" s="22"/>
      <x:c r="I210" s="22"/>
      <x:c r="J210" s="22"/>
      <x:c r="K210" s="22"/>
      <x:c r="L210" s="22"/>
      <x:c r="M210" s="22"/>
      <x:c r="N210" s="26"/>
      <x:c r="O210" s="22"/>
      <x:c r="P210" s="22" t="str">
        <x:f>IF(OR(B210="",J210="Закрыт"),"",TODAY()-B210)</x:f>
      </x:c>
    </x:row>
    <x:row r="211">
      <x:c r="A211" s="22" t="str">
        <x:f>IF(D211="","","SIG-"&amp;TEXT(ROW()-2,"0000"))</x:f>
      </x:c>
      <x:c r="B211" s="26"/>
      <x:c r="C211" s="22"/>
      <x:c r="D211" s="22"/>
      <x:c r="E211" s="22"/>
      <x:c r="F211" s="22"/>
      <x:c r="G211" s="22"/>
      <x:c r="H211" s="22"/>
      <x:c r="I211" s="22"/>
      <x:c r="J211" s="22"/>
      <x:c r="K211" s="22"/>
      <x:c r="L211" s="22"/>
      <x:c r="M211" s="22"/>
      <x:c r="N211" s="26"/>
      <x:c r="O211" s="22"/>
      <x:c r="P211" s="22" t="str">
        <x:f>IF(OR(B211="",J211="Закрыт"),"",TODAY()-B211)</x:f>
      </x:c>
    </x:row>
    <x:row r="212">
      <x:c r="A212" s="22" t="str">
        <x:f>IF(D212="","","SIG-"&amp;TEXT(ROW()-2,"0000"))</x:f>
      </x:c>
      <x:c r="B212" s="26"/>
      <x:c r="C212" s="22"/>
      <x:c r="D212" s="22"/>
      <x:c r="E212" s="22"/>
      <x:c r="F212" s="22"/>
      <x:c r="G212" s="22"/>
      <x:c r="H212" s="22"/>
      <x:c r="I212" s="22"/>
      <x:c r="J212" s="22"/>
      <x:c r="K212" s="22"/>
      <x:c r="L212" s="22"/>
      <x:c r="M212" s="22"/>
      <x:c r="N212" s="26"/>
      <x:c r="O212" s="22"/>
      <x:c r="P212" s="22" t="str">
        <x:f>IF(OR(B212="",J212="Закрыт"),"",TODAY()-B212)</x:f>
      </x:c>
    </x:row>
    <x:row r="213">
      <x:c r="A213" s="22" t="str">
        <x:f>IF(D213="","","SIG-"&amp;TEXT(ROW()-2,"0000"))</x:f>
      </x:c>
      <x:c r="B213" s="26"/>
      <x:c r="C213" s="22"/>
      <x:c r="D213" s="22"/>
      <x:c r="E213" s="22"/>
      <x:c r="F213" s="22"/>
      <x:c r="G213" s="22"/>
      <x:c r="H213" s="22"/>
      <x:c r="I213" s="22"/>
      <x:c r="J213" s="22"/>
      <x:c r="K213" s="22"/>
      <x:c r="L213" s="22"/>
      <x:c r="M213" s="22"/>
      <x:c r="N213" s="26"/>
      <x:c r="O213" s="22"/>
      <x:c r="P213" s="22" t="str">
        <x:f>IF(OR(B213="",J213="Закрыт"),"",TODAY()-B213)</x:f>
      </x:c>
    </x:row>
    <x:row r="214">
      <x:c r="A214" s="22" t="str">
        <x:f>IF(D214="","","SIG-"&amp;TEXT(ROW()-2,"0000"))</x:f>
      </x:c>
      <x:c r="B214" s="26"/>
      <x:c r="C214" s="22"/>
      <x:c r="D214" s="22"/>
      <x:c r="E214" s="22"/>
      <x:c r="F214" s="22"/>
      <x:c r="G214" s="22"/>
      <x:c r="H214" s="22"/>
      <x:c r="I214" s="22"/>
      <x:c r="J214" s="22"/>
      <x:c r="K214" s="22"/>
      <x:c r="L214" s="22"/>
      <x:c r="M214" s="22"/>
      <x:c r="N214" s="26"/>
      <x:c r="O214" s="22"/>
      <x:c r="P214" s="22" t="str">
        <x:f>IF(OR(B214="",J214="Закрыт"),"",TODAY()-B214)</x:f>
      </x:c>
    </x:row>
    <x:row r="215">
      <x:c r="A215" s="22" t="str">
        <x:f>IF(D215="","","SIG-"&amp;TEXT(ROW()-2,"0000"))</x:f>
      </x:c>
      <x:c r="B215" s="26"/>
      <x:c r="C215" s="22"/>
      <x:c r="D215" s="22"/>
      <x:c r="E215" s="22"/>
      <x:c r="F215" s="22"/>
      <x:c r="G215" s="22"/>
      <x:c r="H215" s="22"/>
      <x:c r="I215" s="22"/>
      <x:c r="J215" s="22"/>
      <x:c r="K215" s="22"/>
      <x:c r="L215" s="22"/>
      <x:c r="M215" s="22"/>
      <x:c r="N215" s="26"/>
      <x:c r="O215" s="22"/>
      <x:c r="P215" s="22" t="str">
        <x:f>IF(OR(B215="",J215="Закрыт"),"",TODAY()-B215)</x:f>
      </x:c>
    </x:row>
    <x:row r="216">
      <x:c r="A216" s="22" t="str">
        <x:f>IF(D216="","","SIG-"&amp;TEXT(ROW()-2,"0000"))</x:f>
      </x:c>
      <x:c r="B216" s="26"/>
      <x:c r="C216" s="22"/>
      <x:c r="D216" s="22"/>
      <x:c r="E216" s="22"/>
      <x:c r="F216" s="22"/>
      <x:c r="G216" s="22"/>
      <x:c r="H216" s="22"/>
      <x:c r="I216" s="22"/>
      <x:c r="J216" s="22"/>
      <x:c r="K216" s="22"/>
      <x:c r="L216" s="22"/>
      <x:c r="M216" s="22"/>
      <x:c r="N216" s="26"/>
      <x:c r="O216" s="22"/>
      <x:c r="P216" s="22" t="str">
        <x:f>IF(OR(B216="",J216="Закрыт"),"",TODAY()-B216)</x:f>
      </x:c>
    </x:row>
    <x:row r="217">
      <x:c r="A217" s="22" t="str">
        <x:f>IF(D217="","","SIG-"&amp;TEXT(ROW()-2,"0000"))</x:f>
      </x:c>
      <x:c r="B217" s="26"/>
      <x:c r="C217" s="22"/>
      <x:c r="D217" s="22"/>
      <x:c r="E217" s="22"/>
      <x:c r="F217" s="22"/>
      <x:c r="G217" s="22"/>
      <x:c r="H217" s="22"/>
      <x:c r="I217" s="22"/>
      <x:c r="J217" s="22"/>
      <x:c r="K217" s="22"/>
      <x:c r="L217" s="22"/>
      <x:c r="M217" s="22"/>
      <x:c r="N217" s="26"/>
      <x:c r="O217" s="22"/>
      <x:c r="P217" s="22" t="str">
        <x:f>IF(OR(B217="",J217="Закрыт"),"",TODAY()-B217)</x:f>
      </x:c>
    </x:row>
    <x:row r="218">
      <x:c r="A218" s="22" t="str">
        <x:f>IF(D218="","","SIG-"&amp;TEXT(ROW()-2,"0000"))</x:f>
      </x:c>
      <x:c r="B218" s="26"/>
      <x:c r="C218" s="22"/>
      <x:c r="D218" s="22"/>
      <x:c r="E218" s="22"/>
      <x:c r="F218" s="22"/>
      <x:c r="G218" s="22"/>
      <x:c r="H218" s="22"/>
      <x:c r="I218" s="22"/>
      <x:c r="J218" s="22"/>
      <x:c r="K218" s="22"/>
      <x:c r="L218" s="22"/>
      <x:c r="M218" s="22"/>
      <x:c r="N218" s="26"/>
      <x:c r="O218" s="22"/>
      <x:c r="P218" s="22" t="str">
        <x:f>IF(OR(B218="",J218="Закрыт"),"",TODAY()-B218)</x:f>
      </x:c>
    </x:row>
    <x:row r="219">
      <x:c r="A219" s="22" t="str">
        <x:f>IF(D219="","","SIG-"&amp;TEXT(ROW()-2,"0000"))</x:f>
      </x:c>
      <x:c r="B219" s="26"/>
      <x:c r="C219" s="22"/>
      <x:c r="D219" s="22"/>
      <x:c r="E219" s="22"/>
      <x:c r="F219" s="22"/>
      <x:c r="G219" s="22"/>
      <x:c r="H219" s="22"/>
      <x:c r="I219" s="22"/>
      <x:c r="J219" s="22"/>
      <x:c r="K219" s="22"/>
      <x:c r="L219" s="22"/>
      <x:c r="M219" s="22"/>
      <x:c r="N219" s="26"/>
      <x:c r="O219" s="22"/>
      <x:c r="P219" s="22" t="str">
        <x:f>IF(OR(B219="",J219="Закрыт"),"",TODAY()-B219)</x:f>
      </x:c>
    </x:row>
    <x:row r="220">
      <x:c r="A220" s="22" t="str">
        <x:f>IF(D220="","","SIG-"&amp;TEXT(ROW()-2,"0000"))</x:f>
      </x:c>
      <x:c r="B220" s="26"/>
      <x:c r="C220" s="22"/>
      <x:c r="D220" s="22"/>
      <x:c r="E220" s="22"/>
      <x:c r="F220" s="22"/>
      <x:c r="G220" s="22"/>
      <x:c r="H220" s="22"/>
      <x:c r="I220" s="22"/>
      <x:c r="J220" s="22"/>
      <x:c r="K220" s="22"/>
      <x:c r="L220" s="22"/>
      <x:c r="M220" s="22"/>
      <x:c r="N220" s="26"/>
      <x:c r="O220" s="22"/>
      <x:c r="P220" s="22" t="str">
        <x:f>IF(OR(B220="",J220="Закрыт"),"",TODAY()-B220)</x:f>
      </x:c>
    </x:row>
    <x:row r="221">
      <x:c r="A221" s="22" t="str">
        <x:f>IF(D221="","","SIG-"&amp;TEXT(ROW()-2,"0000"))</x:f>
      </x:c>
      <x:c r="B221" s="26"/>
      <x:c r="C221" s="22"/>
      <x:c r="D221" s="22"/>
      <x:c r="E221" s="22"/>
      <x:c r="F221" s="22"/>
      <x:c r="G221" s="22"/>
      <x:c r="H221" s="22"/>
      <x:c r="I221" s="22"/>
      <x:c r="J221" s="22"/>
      <x:c r="K221" s="22"/>
      <x:c r="L221" s="22"/>
      <x:c r="M221" s="22"/>
      <x:c r="N221" s="26"/>
      <x:c r="O221" s="22"/>
      <x:c r="P221" s="22" t="str">
        <x:f>IF(OR(B221="",J221="Закрыт"),"",TODAY()-B221)</x:f>
      </x:c>
    </x:row>
    <x:row r="222">
      <x:c r="A222" s="22" t="str">
        <x:f>IF(D222="","","SIG-"&amp;TEXT(ROW()-2,"0000"))</x:f>
      </x:c>
      <x:c r="B222" s="26"/>
      <x:c r="C222" s="22"/>
      <x:c r="D222" s="22"/>
      <x:c r="E222" s="22"/>
      <x:c r="F222" s="22"/>
      <x:c r="G222" s="22"/>
      <x:c r="H222" s="22"/>
      <x:c r="I222" s="22"/>
      <x:c r="J222" s="22"/>
      <x:c r="K222" s="22"/>
      <x:c r="L222" s="22"/>
      <x:c r="M222" s="22"/>
      <x:c r="N222" s="26"/>
      <x:c r="O222" s="22"/>
      <x:c r="P222" s="22" t="str">
        <x:f>IF(OR(B222="",J222="Закрыт"),"",TODAY()-B222)</x:f>
      </x:c>
    </x:row>
    <x:row r="223">
      <x:c r="A223" s="22" t="str">
        <x:f>IF(D223="","","SIG-"&amp;TEXT(ROW()-2,"0000"))</x:f>
      </x:c>
      <x:c r="B223" s="26"/>
      <x:c r="C223" s="22"/>
      <x:c r="D223" s="22"/>
      <x:c r="E223" s="22"/>
      <x:c r="F223" s="22"/>
      <x:c r="G223" s="22"/>
      <x:c r="H223" s="22"/>
      <x:c r="I223" s="22"/>
      <x:c r="J223" s="22"/>
      <x:c r="K223" s="22"/>
      <x:c r="L223" s="22"/>
      <x:c r="M223" s="22"/>
      <x:c r="N223" s="26"/>
      <x:c r="O223" s="22"/>
      <x:c r="P223" s="22" t="str">
        <x:f>IF(OR(B223="",J223="Закрыт"),"",TODAY()-B223)</x:f>
      </x:c>
    </x:row>
    <x:row r="224">
      <x:c r="A224" s="22" t="str">
        <x:f>IF(D224="","","SIG-"&amp;TEXT(ROW()-2,"0000"))</x:f>
      </x:c>
      <x:c r="B224" s="26"/>
      <x:c r="C224" s="22"/>
      <x:c r="D224" s="22"/>
      <x:c r="E224" s="22"/>
      <x:c r="F224" s="22"/>
      <x:c r="G224" s="22"/>
      <x:c r="H224" s="22"/>
      <x:c r="I224" s="22"/>
      <x:c r="J224" s="22"/>
      <x:c r="K224" s="22"/>
      <x:c r="L224" s="22"/>
      <x:c r="M224" s="22"/>
      <x:c r="N224" s="26"/>
      <x:c r="O224" s="22"/>
      <x:c r="P224" s="22" t="str">
        <x:f>IF(OR(B224="",J224="Закрыт"),"",TODAY()-B224)</x:f>
      </x:c>
    </x:row>
    <x:row r="225">
      <x:c r="A225" s="22" t="str">
        <x:f>IF(D225="","","SIG-"&amp;TEXT(ROW()-2,"0000"))</x:f>
      </x:c>
      <x:c r="B225" s="26"/>
      <x:c r="C225" s="22"/>
      <x:c r="D225" s="22"/>
      <x:c r="E225" s="22"/>
      <x:c r="F225" s="22"/>
      <x:c r="G225" s="22"/>
      <x:c r="H225" s="22"/>
      <x:c r="I225" s="22"/>
      <x:c r="J225" s="22"/>
      <x:c r="K225" s="22"/>
      <x:c r="L225" s="22"/>
      <x:c r="M225" s="22"/>
      <x:c r="N225" s="26"/>
      <x:c r="O225" s="22"/>
      <x:c r="P225" s="22" t="str">
        <x:f>IF(OR(B225="",J225="Закрыт"),"",TODAY()-B225)</x:f>
      </x:c>
    </x:row>
    <x:row r="226">
      <x:c r="A226" s="22" t="str">
        <x:f>IF(D226="","","SIG-"&amp;TEXT(ROW()-2,"0000"))</x:f>
      </x:c>
      <x:c r="B226" s="26"/>
      <x:c r="C226" s="22"/>
      <x:c r="D226" s="22"/>
      <x:c r="E226" s="22"/>
      <x:c r="F226" s="22"/>
      <x:c r="G226" s="22"/>
      <x:c r="H226" s="22"/>
      <x:c r="I226" s="22"/>
      <x:c r="J226" s="22"/>
      <x:c r="K226" s="22"/>
      <x:c r="L226" s="22"/>
      <x:c r="M226" s="22"/>
      <x:c r="N226" s="26"/>
      <x:c r="O226" s="22"/>
      <x:c r="P226" s="22" t="str">
        <x:f>IF(OR(B226="",J226="Закрыт"),"",TODAY()-B226)</x:f>
      </x:c>
    </x:row>
    <x:row r="227">
      <x:c r="A227" s="22" t="str">
        <x:f>IF(D227="","","SIG-"&amp;TEXT(ROW()-2,"0000"))</x:f>
      </x:c>
      <x:c r="B227" s="26"/>
      <x:c r="C227" s="22"/>
      <x:c r="D227" s="22"/>
      <x:c r="E227" s="22"/>
      <x:c r="F227" s="22"/>
      <x:c r="G227" s="22"/>
      <x:c r="H227" s="22"/>
      <x:c r="I227" s="22"/>
      <x:c r="J227" s="22"/>
      <x:c r="K227" s="22"/>
      <x:c r="L227" s="22"/>
      <x:c r="M227" s="22"/>
      <x:c r="N227" s="26"/>
      <x:c r="O227" s="22"/>
      <x:c r="P227" s="22" t="str">
        <x:f>IF(OR(B227="",J227="Закрыт"),"",TODAY()-B227)</x:f>
      </x:c>
    </x:row>
    <x:row r="228">
      <x:c r="A228" s="22" t="str">
        <x:f>IF(D228="","","SIG-"&amp;TEXT(ROW()-2,"0000"))</x:f>
      </x:c>
      <x:c r="B228" s="26"/>
      <x:c r="C228" s="22"/>
      <x:c r="D228" s="22"/>
      <x:c r="E228" s="22"/>
      <x:c r="F228" s="22"/>
      <x:c r="G228" s="22"/>
      <x:c r="H228" s="22"/>
      <x:c r="I228" s="22"/>
      <x:c r="J228" s="22"/>
      <x:c r="K228" s="22"/>
      <x:c r="L228" s="22"/>
      <x:c r="M228" s="22"/>
      <x:c r="N228" s="26"/>
      <x:c r="O228" s="22"/>
      <x:c r="P228" s="22" t="str">
        <x:f>IF(OR(B228="",J228="Закрыт"),"",TODAY()-B228)</x:f>
      </x:c>
    </x:row>
    <x:row r="229">
      <x:c r="A229" s="22" t="str">
        <x:f>IF(D229="","","SIG-"&amp;TEXT(ROW()-2,"0000"))</x:f>
      </x:c>
      <x:c r="B229" s="26"/>
      <x:c r="C229" s="22"/>
      <x:c r="D229" s="22"/>
      <x:c r="E229" s="22"/>
      <x:c r="F229" s="22"/>
      <x:c r="G229" s="22"/>
      <x:c r="H229" s="22"/>
      <x:c r="I229" s="22"/>
      <x:c r="J229" s="22"/>
      <x:c r="K229" s="22"/>
      <x:c r="L229" s="22"/>
      <x:c r="M229" s="22"/>
      <x:c r="N229" s="26"/>
      <x:c r="O229" s="22"/>
      <x:c r="P229" s="22" t="str">
        <x:f>IF(OR(B229="",J229="Закрыт"),"",TODAY()-B229)</x:f>
      </x:c>
    </x:row>
    <x:row r="230">
      <x:c r="A230" s="22" t="str">
        <x:f>IF(D230="","","SIG-"&amp;TEXT(ROW()-2,"0000"))</x:f>
      </x:c>
      <x:c r="B230" s="26"/>
      <x:c r="C230" s="22"/>
      <x:c r="D230" s="22"/>
      <x:c r="E230" s="22"/>
      <x:c r="F230" s="22"/>
      <x:c r="G230" s="22"/>
      <x:c r="H230" s="22"/>
      <x:c r="I230" s="22"/>
      <x:c r="J230" s="22"/>
      <x:c r="K230" s="22"/>
      <x:c r="L230" s="22"/>
      <x:c r="M230" s="22"/>
      <x:c r="N230" s="26"/>
      <x:c r="O230" s="22"/>
      <x:c r="P230" s="22" t="str">
        <x:f>IF(OR(B230="",J230="Закрыт"),"",TODAY()-B230)</x:f>
      </x:c>
    </x:row>
    <x:row r="231">
      <x:c r="A231" s="22" t="str">
        <x:f>IF(D231="","","SIG-"&amp;TEXT(ROW()-2,"0000"))</x:f>
      </x:c>
      <x:c r="B231" s="26"/>
      <x:c r="C231" s="22"/>
      <x:c r="D231" s="22"/>
      <x:c r="E231" s="22"/>
      <x:c r="F231" s="22"/>
      <x:c r="G231" s="22"/>
      <x:c r="H231" s="22"/>
      <x:c r="I231" s="22"/>
      <x:c r="J231" s="22"/>
      <x:c r="K231" s="22"/>
      <x:c r="L231" s="22"/>
      <x:c r="M231" s="22"/>
      <x:c r="N231" s="26"/>
      <x:c r="O231" s="22"/>
      <x:c r="P231" s="22" t="str">
        <x:f>IF(OR(B231="",J231="Закрыт"),"",TODAY()-B231)</x:f>
      </x:c>
    </x:row>
    <x:row r="232">
      <x:c r="A232" s="22" t="str">
        <x:f>IF(D232="","","SIG-"&amp;TEXT(ROW()-2,"0000"))</x:f>
      </x:c>
      <x:c r="B232" s="26"/>
      <x:c r="C232" s="22"/>
      <x:c r="D232" s="22"/>
      <x:c r="E232" s="22"/>
      <x:c r="F232" s="22"/>
      <x:c r="G232" s="22"/>
      <x:c r="H232" s="22"/>
      <x:c r="I232" s="22"/>
      <x:c r="J232" s="22"/>
      <x:c r="K232" s="22"/>
      <x:c r="L232" s="22"/>
      <x:c r="M232" s="22"/>
      <x:c r="N232" s="26"/>
      <x:c r="O232" s="22"/>
      <x:c r="P232" s="22" t="str">
        <x:f>IF(OR(B232="",J232="Закрыт"),"",TODAY()-B232)</x:f>
      </x:c>
    </x:row>
    <x:row r="233">
      <x:c r="A233" s="22" t="str">
        <x:f>IF(D233="","","SIG-"&amp;TEXT(ROW()-2,"0000"))</x:f>
      </x:c>
      <x:c r="B233" s="26"/>
      <x:c r="C233" s="22"/>
      <x:c r="D233" s="22"/>
      <x:c r="E233" s="22"/>
      <x:c r="F233" s="22"/>
      <x:c r="G233" s="22"/>
      <x:c r="H233" s="22"/>
      <x:c r="I233" s="22"/>
      <x:c r="J233" s="22"/>
      <x:c r="K233" s="22"/>
      <x:c r="L233" s="22"/>
      <x:c r="M233" s="22"/>
      <x:c r="N233" s="26"/>
      <x:c r="O233" s="22"/>
      <x:c r="P233" s="22" t="str">
        <x:f>IF(OR(B233="",J233="Закрыт"),"",TODAY()-B233)</x:f>
      </x:c>
    </x:row>
    <x:row r="234">
      <x:c r="A234" s="22" t="str">
        <x:f>IF(D234="","","SIG-"&amp;TEXT(ROW()-2,"0000"))</x:f>
      </x:c>
      <x:c r="B234" s="26"/>
      <x:c r="C234" s="22"/>
      <x:c r="D234" s="22"/>
      <x:c r="E234" s="22"/>
      <x:c r="F234" s="22"/>
      <x:c r="G234" s="22"/>
      <x:c r="H234" s="22"/>
      <x:c r="I234" s="22"/>
      <x:c r="J234" s="22"/>
      <x:c r="K234" s="22"/>
      <x:c r="L234" s="22"/>
      <x:c r="M234" s="22"/>
      <x:c r="N234" s="26"/>
      <x:c r="O234" s="22"/>
      <x:c r="P234" s="22" t="str">
        <x:f>IF(OR(B234="",J234="Закрыт"),"",TODAY()-B234)</x:f>
      </x:c>
    </x:row>
    <x:row r="235">
      <x:c r="A235" s="22" t="str">
        <x:f>IF(D235="","","SIG-"&amp;TEXT(ROW()-2,"0000"))</x:f>
      </x:c>
      <x:c r="B235" s="26"/>
      <x:c r="C235" s="22"/>
      <x:c r="D235" s="22"/>
      <x:c r="E235" s="22"/>
      <x:c r="F235" s="22"/>
      <x:c r="G235" s="22"/>
      <x:c r="H235" s="22"/>
      <x:c r="I235" s="22"/>
      <x:c r="J235" s="22"/>
      <x:c r="K235" s="22"/>
      <x:c r="L235" s="22"/>
      <x:c r="M235" s="22"/>
      <x:c r="N235" s="26"/>
      <x:c r="O235" s="22"/>
      <x:c r="P235" s="22" t="str">
        <x:f>IF(OR(B235="",J235="Закрыт"),"",TODAY()-B235)</x:f>
      </x:c>
    </x:row>
    <x:row r="236">
      <x:c r="A236" s="22" t="str">
        <x:f>IF(D236="","","SIG-"&amp;TEXT(ROW()-2,"0000"))</x:f>
      </x:c>
      <x:c r="B236" s="26"/>
      <x:c r="C236" s="22"/>
      <x:c r="D236" s="22"/>
      <x:c r="E236" s="22"/>
      <x:c r="F236" s="22"/>
      <x:c r="G236" s="22"/>
      <x:c r="H236" s="22"/>
      <x:c r="I236" s="22"/>
      <x:c r="J236" s="22"/>
      <x:c r="K236" s="22"/>
      <x:c r="L236" s="22"/>
      <x:c r="M236" s="22"/>
      <x:c r="N236" s="26"/>
      <x:c r="O236" s="22"/>
      <x:c r="P236" s="22" t="str">
        <x:f>IF(OR(B236="",J236="Закрыт"),"",TODAY()-B236)</x:f>
      </x:c>
    </x:row>
    <x:row r="237">
      <x:c r="A237" s="22" t="str">
        <x:f>IF(D237="","","SIG-"&amp;TEXT(ROW()-2,"0000"))</x:f>
      </x:c>
      <x:c r="B237" s="26"/>
      <x:c r="C237" s="22"/>
      <x:c r="D237" s="22"/>
      <x:c r="E237" s="22"/>
      <x:c r="F237" s="22"/>
      <x:c r="G237" s="22"/>
      <x:c r="H237" s="22"/>
      <x:c r="I237" s="22"/>
      <x:c r="J237" s="22"/>
      <x:c r="K237" s="22"/>
      <x:c r="L237" s="22"/>
      <x:c r="M237" s="22"/>
      <x:c r="N237" s="26"/>
      <x:c r="O237" s="22"/>
      <x:c r="P237" s="22" t="str">
        <x:f>IF(OR(B237="",J237="Закрыт"),"",TODAY()-B237)</x:f>
      </x:c>
    </x:row>
    <x:row r="238">
      <x:c r="A238" s="22" t="str">
        <x:f>IF(D238="","","SIG-"&amp;TEXT(ROW()-2,"0000"))</x:f>
      </x:c>
      <x:c r="B238" s="26"/>
      <x:c r="C238" s="22"/>
      <x:c r="D238" s="22"/>
      <x:c r="E238" s="22"/>
      <x:c r="F238" s="22"/>
      <x:c r="G238" s="22"/>
      <x:c r="H238" s="22"/>
      <x:c r="I238" s="22"/>
      <x:c r="J238" s="22"/>
      <x:c r="K238" s="22"/>
      <x:c r="L238" s="22"/>
      <x:c r="M238" s="22"/>
      <x:c r="N238" s="26"/>
      <x:c r="O238" s="22"/>
      <x:c r="P238" s="22" t="str">
        <x:f>IF(OR(B238="",J238="Закрыт"),"",TODAY()-B238)</x:f>
      </x:c>
    </x:row>
    <x:row r="239">
      <x:c r="A239" s="22" t="str">
        <x:f>IF(D239="","","SIG-"&amp;TEXT(ROW()-2,"0000"))</x:f>
      </x:c>
      <x:c r="B239" s="26"/>
      <x:c r="C239" s="22"/>
      <x:c r="D239" s="22"/>
      <x:c r="E239" s="22"/>
      <x:c r="F239" s="22"/>
      <x:c r="G239" s="22"/>
      <x:c r="H239" s="22"/>
      <x:c r="I239" s="22"/>
      <x:c r="J239" s="22"/>
      <x:c r="K239" s="22"/>
      <x:c r="L239" s="22"/>
      <x:c r="M239" s="22"/>
      <x:c r="N239" s="26"/>
      <x:c r="O239" s="22"/>
      <x:c r="P239" s="22" t="str">
        <x:f>IF(OR(B239="",J239="Закрыт"),"",TODAY()-B239)</x:f>
      </x:c>
    </x:row>
    <x:row r="240">
      <x:c r="A240" s="22" t="str">
        <x:f>IF(D240="","","SIG-"&amp;TEXT(ROW()-2,"0000"))</x:f>
      </x:c>
      <x:c r="B240" s="26"/>
      <x:c r="C240" s="22"/>
      <x:c r="D240" s="22"/>
      <x:c r="E240" s="22"/>
      <x:c r="F240" s="22"/>
      <x:c r="G240" s="22"/>
      <x:c r="H240" s="22"/>
      <x:c r="I240" s="22"/>
      <x:c r="J240" s="22"/>
      <x:c r="K240" s="22"/>
      <x:c r="L240" s="22"/>
      <x:c r="M240" s="22"/>
      <x:c r="N240" s="26"/>
      <x:c r="O240" s="22"/>
      <x:c r="P240" s="22" t="str">
        <x:f>IF(OR(B240="",J240="Закрыт"),"",TODAY()-B240)</x:f>
      </x:c>
    </x:row>
    <x:row r="241">
      <x:c r="A241" s="22" t="str">
        <x:f>IF(D241="","","SIG-"&amp;TEXT(ROW()-2,"0000"))</x:f>
      </x:c>
      <x:c r="B241" s="26"/>
      <x:c r="C241" s="22"/>
      <x:c r="D241" s="22"/>
      <x:c r="E241" s="22"/>
      <x:c r="F241" s="22"/>
      <x:c r="G241" s="22"/>
      <x:c r="H241" s="22"/>
      <x:c r="I241" s="22"/>
      <x:c r="J241" s="22"/>
      <x:c r="K241" s="22"/>
      <x:c r="L241" s="22"/>
      <x:c r="M241" s="22"/>
      <x:c r="N241" s="26"/>
      <x:c r="O241" s="22"/>
      <x:c r="P241" s="22" t="str">
        <x:f>IF(OR(B241="",J241="Закрыт"),"",TODAY()-B241)</x:f>
      </x:c>
    </x:row>
    <x:row r="242">
      <x:c r="A242" s="22" t="str">
        <x:f>IF(D242="","","SIG-"&amp;TEXT(ROW()-2,"0000"))</x:f>
      </x:c>
      <x:c r="B242" s="26"/>
      <x:c r="C242" s="22"/>
      <x:c r="D242" s="22"/>
      <x:c r="E242" s="22"/>
      <x:c r="F242" s="22"/>
      <x:c r="G242" s="22"/>
      <x:c r="H242" s="22"/>
      <x:c r="I242" s="22"/>
      <x:c r="J242" s="22"/>
      <x:c r="K242" s="22"/>
      <x:c r="L242" s="22"/>
      <x:c r="M242" s="22"/>
      <x:c r="N242" s="26"/>
      <x:c r="O242" s="22"/>
      <x:c r="P242" s="22" t="str">
        <x:f>IF(OR(B242="",J242="Закрыт"),"",TODAY()-B242)</x:f>
      </x:c>
    </x:row>
    <x:row r="243">
      <x:c r="A243" s="22" t="str">
        <x:f>IF(D243="","","SIG-"&amp;TEXT(ROW()-2,"0000"))</x:f>
      </x:c>
      <x:c r="B243" s="26"/>
      <x:c r="C243" s="22"/>
      <x:c r="D243" s="22"/>
      <x:c r="E243" s="22"/>
      <x:c r="F243" s="22"/>
      <x:c r="G243" s="22"/>
      <x:c r="H243" s="22"/>
      <x:c r="I243" s="22"/>
      <x:c r="J243" s="22"/>
      <x:c r="K243" s="22"/>
      <x:c r="L243" s="22"/>
      <x:c r="M243" s="22"/>
      <x:c r="N243" s="26"/>
      <x:c r="O243" s="22"/>
      <x:c r="P243" s="22" t="str">
        <x:f>IF(OR(B243="",J243="Закрыт"),"",TODAY()-B243)</x:f>
      </x:c>
    </x:row>
    <x:row r="244">
      <x:c r="A244" s="22" t="str">
        <x:f>IF(D244="","","SIG-"&amp;TEXT(ROW()-2,"0000"))</x:f>
      </x:c>
      <x:c r="B244" s="26"/>
      <x:c r="C244" s="22"/>
      <x:c r="D244" s="22"/>
      <x:c r="E244" s="22"/>
      <x:c r="F244" s="22"/>
      <x:c r="G244" s="22"/>
      <x:c r="H244" s="22"/>
      <x:c r="I244" s="22"/>
      <x:c r="J244" s="22"/>
      <x:c r="K244" s="22"/>
      <x:c r="L244" s="22"/>
      <x:c r="M244" s="22"/>
      <x:c r="N244" s="26"/>
      <x:c r="O244" s="22"/>
      <x:c r="P244" s="22" t="str">
        <x:f>IF(OR(B244="",J244="Закрыт"),"",TODAY()-B244)</x:f>
      </x:c>
    </x:row>
    <x:row r="245">
      <x:c r="A245" s="22" t="str">
        <x:f>IF(D245="","","SIG-"&amp;TEXT(ROW()-2,"0000"))</x:f>
      </x:c>
      <x:c r="B245" s="26"/>
      <x:c r="C245" s="22"/>
      <x:c r="D245" s="22"/>
      <x:c r="E245" s="22"/>
      <x:c r="F245" s="22"/>
      <x:c r="G245" s="22"/>
      <x:c r="H245" s="22"/>
      <x:c r="I245" s="22"/>
      <x:c r="J245" s="22"/>
      <x:c r="K245" s="22"/>
      <x:c r="L245" s="22"/>
      <x:c r="M245" s="22"/>
      <x:c r="N245" s="26"/>
      <x:c r="O245" s="22"/>
      <x:c r="P245" s="22" t="str">
        <x:f>IF(OR(B245="",J245="Закрыт"),"",TODAY()-B245)</x:f>
      </x:c>
    </x:row>
    <x:row r="246">
      <x:c r="A246" s="22" t="str">
        <x:f>IF(D246="","","SIG-"&amp;TEXT(ROW()-2,"0000"))</x:f>
      </x:c>
      <x:c r="B246" s="26"/>
      <x:c r="C246" s="22"/>
      <x:c r="D246" s="22"/>
      <x:c r="E246" s="22"/>
      <x:c r="F246" s="22"/>
      <x:c r="G246" s="22"/>
      <x:c r="H246" s="22"/>
      <x:c r="I246" s="22"/>
      <x:c r="J246" s="22"/>
      <x:c r="K246" s="22"/>
      <x:c r="L246" s="22"/>
      <x:c r="M246" s="22"/>
      <x:c r="N246" s="26"/>
      <x:c r="O246" s="22"/>
      <x:c r="P246" s="22" t="str">
        <x:f>IF(OR(B246="",J246="Закрыт"),"",TODAY()-B246)</x:f>
      </x:c>
    </x:row>
    <x:row r="247">
      <x:c r="A247" s="22" t="str">
        <x:f>IF(D247="","","SIG-"&amp;TEXT(ROW()-2,"0000"))</x:f>
      </x:c>
      <x:c r="B247" s="26"/>
      <x:c r="C247" s="22"/>
      <x:c r="D247" s="22"/>
      <x:c r="E247" s="22"/>
      <x:c r="F247" s="22"/>
      <x:c r="G247" s="22"/>
      <x:c r="H247" s="22"/>
      <x:c r="I247" s="22"/>
      <x:c r="J247" s="22"/>
      <x:c r="K247" s="22"/>
      <x:c r="L247" s="22"/>
      <x:c r="M247" s="22"/>
      <x:c r="N247" s="26"/>
      <x:c r="O247" s="22"/>
      <x:c r="P247" s="22" t="str">
        <x:f>IF(OR(B247="",J247="Закрыт"),"",TODAY()-B247)</x:f>
      </x:c>
    </x:row>
    <x:row r="248">
      <x:c r="A248" s="22" t="str">
        <x:f>IF(D248="","","SIG-"&amp;TEXT(ROW()-2,"0000"))</x:f>
      </x:c>
      <x:c r="B248" s="26"/>
      <x:c r="C248" s="22"/>
      <x:c r="D248" s="22"/>
      <x:c r="E248" s="22"/>
      <x:c r="F248" s="22"/>
      <x:c r="G248" s="22"/>
      <x:c r="H248" s="22"/>
      <x:c r="I248" s="22"/>
      <x:c r="J248" s="22"/>
      <x:c r="K248" s="22"/>
      <x:c r="L248" s="22"/>
      <x:c r="M248" s="22"/>
      <x:c r="N248" s="26"/>
      <x:c r="O248" s="22"/>
      <x:c r="P248" s="22" t="str">
        <x:f>IF(OR(B248="",J248="Закрыт"),"",TODAY()-B248)</x:f>
      </x:c>
    </x:row>
    <x:row r="249">
      <x:c r="A249" s="22" t="str">
        <x:f>IF(D249="","","SIG-"&amp;TEXT(ROW()-2,"0000"))</x:f>
      </x:c>
      <x:c r="B249" s="26"/>
      <x:c r="C249" s="22"/>
      <x:c r="D249" s="22"/>
      <x:c r="E249" s="22"/>
      <x:c r="F249" s="22"/>
      <x:c r="G249" s="22"/>
      <x:c r="H249" s="22"/>
      <x:c r="I249" s="22"/>
      <x:c r="J249" s="22"/>
      <x:c r="K249" s="22"/>
      <x:c r="L249" s="22"/>
      <x:c r="M249" s="22"/>
      <x:c r="N249" s="26"/>
      <x:c r="O249" s="22"/>
      <x:c r="P249" s="22" t="str">
        <x:f>IF(OR(B249="",J249="Закрыт"),"",TODAY()-B249)</x:f>
      </x:c>
    </x:row>
    <x:row r="250">
      <x:c r="A250" s="22" t="str">
        <x:f>IF(D250="","","SIG-"&amp;TEXT(ROW()-2,"0000"))</x:f>
      </x:c>
      <x:c r="B250" s="26"/>
      <x:c r="C250" s="22"/>
      <x:c r="D250" s="22"/>
      <x:c r="E250" s="22"/>
      <x:c r="F250" s="22"/>
      <x:c r="G250" s="22"/>
      <x:c r="H250" s="22"/>
      <x:c r="I250" s="22"/>
      <x:c r="J250" s="22"/>
      <x:c r="K250" s="22"/>
      <x:c r="L250" s="22"/>
      <x:c r="M250" s="22"/>
      <x:c r="N250" s="26"/>
      <x:c r="O250" s="22"/>
      <x:c r="P250" s="22" t="str">
        <x:f>IF(OR(B250="",J250="Закрыт"),"",TODAY()-B250)</x:f>
      </x:c>
    </x:row>
    <x:row r="251">
      <x:c r="A251" s="22" t="str">
        <x:f>IF(D251="","","SIG-"&amp;TEXT(ROW()-2,"0000"))</x:f>
      </x:c>
      <x:c r="B251" s="26"/>
      <x:c r="C251" s="22"/>
      <x:c r="D251" s="22"/>
      <x:c r="E251" s="22"/>
      <x:c r="F251" s="22"/>
      <x:c r="G251" s="22"/>
      <x:c r="H251" s="22"/>
      <x:c r="I251" s="22"/>
      <x:c r="J251" s="22"/>
      <x:c r="K251" s="22"/>
      <x:c r="L251" s="22"/>
      <x:c r="M251" s="22"/>
      <x:c r="N251" s="26"/>
      <x:c r="O251" s="22"/>
      <x:c r="P251" s="22" t="str">
        <x:f>IF(OR(B251="",J251="Закрыт"),"",TODAY()-B251)</x:f>
      </x:c>
    </x:row>
    <x:row r="252">
      <x:c r="A252" s="22" t="str">
        <x:f>IF(D252="","","SIG-"&amp;TEXT(ROW()-2,"0000"))</x:f>
      </x:c>
      <x:c r="B252" s="26"/>
      <x:c r="C252" s="22"/>
      <x:c r="D252" s="22"/>
      <x:c r="E252" s="22"/>
      <x:c r="F252" s="22"/>
      <x:c r="G252" s="22"/>
      <x:c r="H252" s="22"/>
      <x:c r="I252" s="22"/>
      <x:c r="J252" s="22"/>
      <x:c r="K252" s="22"/>
      <x:c r="L252" s="22"/>
      <x:c r="M252" s="22"/>
      <x:c r="N252" s="26"/>
      <x:c r="O252" s="22"/>
      <x:c r="P252" s="22" t="str">
        <x:f>IF(OR(B252="",J252="Закрыт"),"",TODAY()-B252)</x:f>
      </x:c>
    </x:row>
    <x:row r="253">
      <x:c r="A253" s="22" t="str">
        <x:f>IF(D253="","","SIG-"&amp;TEXT(ROW()-2,"0000"))</x:f>
      </x:c>
      <x:c r="B253" s="26"/>
      <x:c r="C253" s="22"/>
      <x:c r="D253" s="22"/>
      <x:c r="E253" s="22"/>
      <x:c r="F253" s="22"/>
      <x:c r="G253" s="22"/>
      <x:c r="H253" s="22"/>
      <x:c r="I253" s="22"/>
      <x:c r="J253" s="22"/>
      <x:c r="K253" s="22"/>
      <x:c r="L253" s="22"/>
      <x:c r="M253" s="22"/>
      <x:c r="N253" s="26"/>
      <x:c r="O253" s="22"/>
      <x:c r="P253" s="22" t="str">
        <x:f>IF(OR(B253="",J253="Закрыт"),"",TODAY()-B253)</x:f>
      </x:c>
    </x:row>
    <x:row r="254">
      <x:c r="A254" s="22" t="str">
        <x:f>IF(D254="","","SIG-"&amp;TEXT(ROW()-2,"0000"))</x:f>
      </x:c>
      <x:c r="B254" s="26"/>
      <x:c r="C254" s="22"/>
      <x:c r="D254" s="22"/>
      <x:c r="E254" s="22"/>
      <x:c r="F254" s="22"/>
      <x:c r="G254" s="22"/>
      <x:c r="H254" s="22"/>
      <x:c r="I254" s="22"/>
      <x:c r="J254" s="22"/>
      <x:c r="K254" s="22"/>
      <x:c r="L254" s="22"/>
      <x:c r="M254" s="22"/>
      <x:c r="N254" s="26"/>
      <x:c r="O254" s="22"/>
      <x:c r="P254" s="22" t="str">
        <x:f>IF(OR(B254="",J254="Закрыт"),"",TODAY()-B254)</x:f>
      </x:c>
    </x:row>
    <x:row r="255">
      <x:c r="A255" s="22" t="str">
        <x:f>IF(D255="","","SIG-"&amp;TEXT(ROW()-2,"0000"))</x:f>
      </x:c>
      <x:c r="B255" s="26"/>
      <x:c r="C255" s="22"/>
      <x:c r="D255" s="22"/>
      <x:c r="E255" s="22"/>
      <x:c r="F255" s="22"/>
      <x:c r="G255" s="22"/>
      <x:c r="H255" s="22"/>
      <x:c r="I255" s="22"/>
      <x:c r="J255" s="22"/>
      <x:c r="K255" s="22"/>
      <x:c r="L255" s="22"/>
      <x:c r="M255" s="22"/>
      <x:c r="N255" s="26"/>
      <x:c r="O255" s="22"/>
      <x:c r="P255" s="22" t="str">
        <x:f>IF(OR(B255="",J255="Закрыт"),"",TODAY()-B255)</x:f>
      </x:c>
    </x:row>
    <x:row r="256">
      <x:c r="A256" s="22" t="str">
        <x:f>IF(D256="","","SIG-"&amp;TEXT(ROW()-2,"0000"))</x:f>
      </x:c>
      <x:c r="B256" s="26"/>
      <x:c r="C256" s="22"/>
      <x:c r="D256" s="22"/>
      <x:c r="E256" s="22"/>
      <x:c r="F256" s="22"/>
      <x:c r="G256" s="22"/>
      <x:c r="H256" s="22"/>
      <x:c r="I256" s="22"/>
      <x:c r="J256" s="22"/>
      <x:c r="K256" s="22"/>
      <x:c r="L256" s="22"/>
      <x:c r="M256" s="22"/>
      <x:c r="N256" s="26"/>
      <x:c r="O256" s="22"/>
      <x:c r="P256" s="22" t="str">
        <x:f>IF(OR(B256="",J256="Закрыт"),"",TODAY()-B256)</x:f>
      </x:c>
    </x:row>
    <x:row r="257">
      <x:c r="A257" s="22" t="str">
        <x:f>IF(D257="","","SIG-"&amp;TEXT(ROW()-2,"0000"))</x:f>
      </x:c>
      <x:c r="B257" s="26"/>
      <x:c r="C257" s="22"/>
      <x:c r="D257" s="22"/>
      <x:c r="E257" s="22"/>
      <x:c r="F257" s="22"/>
      <x:c r="G257" s="22"/>
      <x:c r="H257" s="22"/>
      <x:c r="I257" s="22"/>
      <x:c r="J257" s="22"/>
      <x:c r="K257" s="22"/>
      <x:c r="L257" s="22"/>
      <x:c r="M257" s="22"/>
      <x:c r="N257" s="26"/>
      <x:c r="O257" s="22"/>
      <x:c r="P257" s="22" t="str">
        <x:f>IF(OR(B257="",J257="Закрыт"),"",TODAY()-B257)</x:f>
      </x:c>
    </x:row>
    <x:row r="258">
      <x:c r="A258" s="22" t="str">
        <x:f>IF(D258="","","SIG-"&amp;TEXT(ROW()-2,"0000"))</x:f>
      </x:c>
      <x:c r="B258" s="26"/>
      <x:c r="C258" s="22"/>
      <x:c r="D258" s="22"/>
      <x:c r="E258" s="22"/>
      <x:c r="F258" s="22"/>
      <x:c r="G258" s="22"/>
      <x:c r="H258" s="22"/>
      <x:c r="I258" s="22"/>
      <x:c r="J258" s="22"/>
      <x:c r="K258" s="22"/>
      <x:c r="L258" s="22"/>
      <x:c r="M258" s="22"/>
      <x:c r="N258" s="26"/>
      <x:c r="O258" s="22"/>
      <x:c r="P258" s="22" t="str">
        <x:f>IF(OR(B258="",J258="Закрыт"),"",TODAY()-B258)</x:f>
      </x:c>
    </x:row>
    <x:row r="259">
      <x:c r="A259" s="22" t="str">
        <x:f>IF(D259="","","SIG-"&amp;TEXT(ROW()-2,"0000"))</x:f>
      </x:c>
      <x:c r="B259" s="26"/>
      <x:c r="C259" s="22"/>
      <x:c r="D259" s="22"/>
      <x:c r="E259" s="22"/>
      <x:c r="F259" s="22"/>
      <x:c r="G259" s="22"/>
      <x:c r="H259" s="22"/>
      <x:c r="I259" s="22"/>
      <x:c r="J259" s="22"/>
      <x:c r="K259" s="22"/>
      <x:c r="L259" s="22"/>
      <x:c r="M259" s="22"/>
      <x:c r="N259" s="26"/>
      <x:c r="O259" s="22"/>
      <x:c r="P259" s="22" t="str">
        <x:f>IF(OR(B259="",J259="Закрыт"),"",TODAY()-B259)</x:f>
      </x:c>
    </x:row>
    <x:row r="260">
      <x:c r="A260" s="22" t="str">
        <x:f>IF(D260="","","SIG-"&amp;TEXT(ROW()-2,"0000"))</x:f>
      </x:c>
      <x:c r="B260" s="26"/>
      <x:c r="C260" s="22"/>
      <x:c r="D260" s="22"/>
      <x:c r="E260" s="22"/>
      <x:c r="F260" s="22"/>
      <x:c r="G260" s="22"/>
      <x:c r="H260" s="22"/>
      <x:c r="I260" s="22"/>
      <x:c r="J260" s="22"/>
      <x:c r="K260" s="22"/>
      <x:c r="L260" s="22"/>
      <x:c r="M260" s="22"/>
      <x:c r="N260" s="26"/>
      <x:c r="O260" s="22"/>
      <x:c r="P260" s="22" t="str">
        <x:f>IF(OR(B260="",J260="Закрыт"),"",TODAY()-B260)</x:f>
      </x:c>
    </x:row>
    <x:row r="261">
      <x:c r="A261" s="22" t="str">
        <x:f>IF(D261="","","SIG-"&amp;TEXT(ROW()-2,"0000"))</x:f>
      </x:c>
      <x:c r="B261" s="26"/>
      <x:c r="C261" s="22"/>
      <x:c r="D261" s="22"/>
      <x:c r="E261" s="22"/>
      <x:c r="F261" s="22"/>
      <x:c r="G261" s="22"/>
      <x:c r="H261" s="22"/>
      <x:c r="I261" s="22"/>
      <x:c r="J261" s="22"/>
      <x:c r="K261" s="22"/>
      <x:c r="L261" s="22"/>
      <x:c r="M261" s="22"/>
      <x:c r="N261" s="26"/>
      <x:c r="O261" s="22"/>
      <x:c r="P261" s="22" t="str">
        <x:f>IF(OR(B261="",J261="Закрыт"),"",TODAY()-B261)</x:f>
      </x:c>
    </x:row>
    <x:row r="262">
      <x:c r="A262" s="22" t="str">
        <x:f>IF(D262="","","SIG-"&amp;TEXT(ROW()-2,"0000"))</x:f>
      </x:c>
      <x:c r="B262" s="26"/>
      <x:c r="C262" s="22"/>
      <x:c r="D262" s="22"/>
      <x:c r="E262" s="22"/>
      <x:c r="F262" s="22"/>
      <x:c r="G262" s="22"/>
      <x:c r="H262" s="22"/>
      <x:c r="I262" s="22"/>
      <x:c r="J262" s="22"/>
      <x:c r="K262" s="22"/>
      <x:c r="L262" s="22"/>
      <x:c r="M262" s="22"/>
      <x:c r="N262" s="26"/>
      <x:c r="O262" s="22"/>
      <x:c r="P262" s="22" t="str">
        <x:f>IF(OR(B262="",J262="Закрыт"),"",TODAY()-B262)</x:f>
      </x:c>
    </x:row>
    <x:row r="263">
      <x:c r="A263" s="22" t="str">
        <x:f>IF(D263="","","SIG-"&amp;TEXT(ROW()-2,"0000"))</x:f>
      </x:c>
      <x:c r="B263" s="26"/>
      <x:c r="C263" s="22"/>
      <x:c r="D263" s="22"/>
      <x:c r="E263" s="22"/>
      <x:c r="F263" s="22"/>
      <x:c r="G263" s="22"/>
      <x:c r="H263" s="22"/>
      <x:c r="I263" s="22"/>
      <x:c r="J263" s="22"/>
      <x:c r="K263" s="22"/>
      <x:c r="L263" s="22"/>
      <x:c r="M263" s="22"/>
      <x:c r="N263" s="26"/>
      <x:c r="O263" s="22"/>
      <x:c r="P263" s="22" t="str">
        <x:f>IF(OR(B263="",J263="Закрыт"),"",TODAY()-B263)</x:f>
      </x:c>
    </x:row>
    <x:row r="264">
      <x:c r="A264" s="22" t="str">
        <x:f>IF(D264="","","SIG-"&amp;TEXT(ROW()-2,"0000"))</x:f>
      </x:c>
      <x:c r="B264" s="26"/>
      <x:c r="C264" s="22"/>
      <x:c r="D264" s="22"/>
      <x:c r="E264" s="22"/>
      <x:c r="F264" s="22"/>
      <x:c r="G264" s="22"/>
      <x:c r="H264" s="22"/>
      <x:c r="I264" s="22"/>
      <x:c r="J264" s="22"/>
      <x:c r="K264" s="22"/>
      <x:c r="L264" s="22"/>
      <x:c r="M264" s="22"/>
      <x:c r="N264" s="26"/>
      <x:c r="O264" s="22"/>
      <x:c r="P264" s="22" t="str">
        <x:f>IF(OR(B264="",J264="Закрыт"),"",TODAY()-B264)</x:f>
      </x:c>
    </x:row>
    <x:row r="265">
      <x:c r="A265" s="22" t="str">
        <x:f>IF(D265="","","SIG-"&amp;TEXT(ROW()-2,"0000"))</x:f>
      </x:c>
      <x:c r="B265" s="26"/>
      <x:c r="C265" s="22"/>
      <x:c r="D265" s="22"/>
      <x:c r="E265" s="22"/>
      <x:c r="F265" s="22"/>
      <x:c r="G265" s="22"/>
      <x:c r="H265" s="22"/>
      <x:c r="I265" s="22"/>
      <x:c r="J265" s="22"/>
      <x:c r="K265" s="22"/>
      <x:c r="L265" s="22"/>
      <x:c r="M265" s="22"/>
      <x:c r="N265" s="26"/>
      <x:c r="O265" s="22"/>
      <x:c r="P265" s="22" t="str">
        <x:f>IF(OR(B265="",J265="Закрыт"),"",TODAY()-B265)</x:f>
      </x:c>
    </x:row>
    <x:row r="266">
      <x:c r="A266" s="22" t="str">
        <x:f>IF(D266="","","SIG-"&amp;TEXT(ROW()-2,"0000"))</x:f>
      </x:c>
      <x:c r="B266" s="26"/>
      <x:c r="C266" s="22"/>
      <x:c r="D266" s="22"/>
      <x:c r="E266" s="22"/>
      <x:c r="F266" s="22"/>
      <x:c r="G266" s="22"/>
      <x:c r="H266" s="22"/>
      <x:c r="I266" s="22"/>
      <x:c r="J266" s="22"/>
      <x:c r="K266" s="22"/>
      <x:c r="L266" s="22"/>
      <x:c r="M266" s="22"/>
      <x:c r="N266" s="26"/>
      <x:c r="O266" s="22"/>
      <x:c r="P266" s="22" t="str">
        <x:f>IF(OR(B266="",J266="Закрыт"),"",TODAY()-B266)</x:f>
      </x:c>
    </x:row>
    <x:row r="267">
      <x:c r="A267" s="22" t="str">
        <x:f>IF(D267="","","SIG-"&amp;TEXT(ROW()-2,"0000"))</x:f>
      </x:c>
      <x:c r="B267" s="26"/>
      <x:c r="C267" s="22"/>
      <x:c r="D267" s="22"/>
      <x:c r="E267" s="22"/>
      <x:c r="F267" s="22"/>
      <x:c r="G267" s="22"/>
      <x:c r="H267" s="22"/>
      <x:c r="I267" s="22"/>
      <x:c r="J267" s="22"/>
      <x:c r="K267" s="22"/>
      <x:c r="L267" s="22"/>
      <x:c r="M267" s="22"/>
      <x:c r="N267" s="26"/>
      <x:c r="O267" s="22"/>
      <x:c r="P267" s="22" t="str">
        <x:f>IF(OR(B267="",J267="Закрыт"),"",TODAY()-B267)</x:f>
      </x:c>
    </x:row>
    <x:row r="268">
      <x:c r="A268" s="22" t="str">
        <x:f>IF(D268="","","SIG-"&amp;TEXT(ROW()-2,"0000"))</x:f>
      </x:c>
      <x:c r="B268" s="26"/>
      <x:c r="C268" s="22"/>
      <x:c r="D268" s="22"/>
      <x:c r="E268" s="22"/>
      <x:c r="F268" s="22"/>
      <x:c r="G268" s="22"/>
      <x:c r="H268" s="22"/>
      <x:c r="I268" s="22"/>
      <x:c r="J268" s="22"/>
      <x:c r="K268" s="22"/>
      <x:c r="L268" s="22"/>
      <x:c r="M268" s="22"/>
      <x:c r="N268" s="26"/>
      <x:c r="O268" s="22"/>
      <x:c r="P268" s="22" t="str">
        <x:f>IF(OR(B268="",J268="Закрыт"),"",TODAY()-B268)</x:f>
      </x:c>
    </x:row>
    <x:row r="269">
      <x:c r="A269" s="22" t="str">
        <x:f>IF(D269="","","SIG-"&amp;TEXT(ROW()-2,"0000"))</x:f>
      </x:c>
      <x:c r="B269" s="26"/>
      <x:c r="C269" s="22"/>
      <x:c r="D269" s="22"/>
      <x:c r="E269" s="22"/>
      <x:c r="F269" s="22"/>
      <x:c r="G269" s="22"/>
      <x:c r="H269" s="22"/>
      <x:c r="I269" s="22"/>
      <x:c r="J269" s="22"/>
      <x:c r="K269" s="22"/>
      <x:c r="L269" s="22"/>
      <x:c r="M269" s="22"/>
      <x:c r="N269" s="26"/>
      <x:c r="O269" s="22"/>
      <x:c r="P269" s="22" t="str">
        <x:f>IF(OR(B269="",J269="Закрыт"),"",TODAY()-B269)</x:f>
      </x:c>
    </x:row>
    <x:row r="270">
      <x:c r="A270" s="22" t="str">
        <x:f>IF(D270="","","SIG-"&amp;TEXT(ROW()-2,"0000"))</x:f>
      </x:c>
      <x:c r="B270" s="26"/>
      <x:c r="C270" s="22"/>
      <x:c r="D270" s="22"/>
      <x:c r="E270" s="22"/>
      <x:c r="F270" s="22"/>
      <x:c r="G270" s="22"/>
      <x:c r="H270" s="22"/>
      <x:c r="I270" s="22"/>
      <x:c r="J270" s="22"/>
      <x:c r="K270" s="22"/>
      <x:c r="L270" s="22"/>
      <x:c r="M270" s="22"/>
      <x:c r="N270" s="26"/>
      <x:c r="O270" s="22"/>
      <x:c r="P270" s="22" t="str">
        <x:f>IF(OR(B270="",J270="Закрыт"),"",TODAY()-B270)</x:f>
      </x:c>
    </x:row>
    <x:row r="271">
      <x:c r="A271" s="22" t="str">
        <x:f>IF(D271="","","SIG-"&amp;TEXT(ROW()-2,"0000"))</x:f>
      </x:c>
      <x:c r="B271" s="26"/>
      <x:c r="C271" s="22"/>
      <x:c r="D271" s="22"/>
      <x:c r="E271" s="22"/>
      <x:c r="F271" s="22"/>
      <x:c r="G271" s="22"/>
      <x:c r="H271" s="22"/>
      <x:c r="I271" s="22"/>
      <x:c r="J271" s="22"/>
      <x:c r="K271" s="22"/>
      <x:c r="L271" s="22"/>
      <x:c r="M271" s="22"/>
      <x:c r="N271" s="26"/>
      <x:c r="O271" s="22"/>
      <x:c r="P271" s="22" t="str">
        <x:f>IF(OR(B271="",J271="Закрыт"),"",TODAY()-B271)</x:f>
      </x:c>
    </x:row>
    <x:row r="272">
      <x:c r="A272" s="22" t="str">
        <x:f>IF(D272="","","SIG-"&amp;TEXT(ROW()-2,"0000"))</x:f>
      </x:c>
      <x:c r="B272" s="26"/>
      <x:c r="C272" s="22"/>
      <x:c r="D272" s="22"/>
      <x:c r="E272" s="22"/>
      <x:c r="F272" s="22"/>
      <x:c r="G272" s="22"/>
      <x:c r="H272" s="22"/>
      <x:c r="I272" s="22"/>
      <x:c r="J272" s="22"/>
      <x:c r="K272" s="22"/>
      <x:c r="L272" s="22"/>
      <x:c r="M272" s="22"/>
      <x:c r="N272" s="26"/>
      <x:c r="O272" s="22"/>
      <x:c r="P272" s="22" t="str">
        <x:f>IF(OR(B272="",J272="Закрыт"),"",TODAY()-B272)</x:f>
      </x:c>
    </x:row>
    <x:row r="273">
      <x:c r="A273" s="22" t="str">
        <x:f>IF(D273="","","SIG-"&amp;TEXT(ROW()-2,"0000"))</x:f>
      </x:c>
      <x:c r="B273" s="26"/>
      <x:c r="C273" s="22"/>
      <x:c r="D273" s="22"/>
      <x:c r="E273" s="22"/>
      <x:c r="F273" s="22"/>
      <x:c r="G273" s="22"/>
      <x:c r="H273" s="22"/>
      <x:c r="I273" s="22"/>
      <x:c r="J273" s="22"/>
      <x:c r="K273" s="22"/>
      <x:c r="L273" s="22"/>
      <x:c r="M273" s="22"/>
      <x:c r="N273" s="26"/>
      <x:c r="O273" s="22"/>
      <x:c r="P273" s="22" t="str">
        <x:f>IF(OR(B273="",J273="Закрыт"),"",TODAY()-B273)</x:f>
      </x:c>
    </x:row>
    <x:row r="274">
      <x:c r="A274" s="22" t="str">
        <x:f>IF(D274="","","SIG-"&amp;TEXT(ROW()-2,"0000"))</x:f>
      </x:c>
      <x:c r="B274" s="26"/>
      <x:c r="C274" s="22"/>
      <x:c r="D274" s="22"/>
      <x:c r="E274" s="22"/>
      <x:c r="F274" s="22"/>
      <x:c r="G274" s="22"/>
      <x:c r="H274" s="22"/>
      <x:c r="I274" s="22"/>
      <x:c r="J274" s="22"/>
      <x:c r="K274" s="22"/>
      <x:c r="L274" s="22"/>
      <x:c r="M274" s="22"/>
      <x:c r="N274" s="26"/>
      <x:c r="O274" s="22"/>
      <x:c r="P274" s="22" t="str">
        <x:f>IF(OR(B274="",J274="Закрыт"),"",TODAY()-B274)</x:f>
      </x:c>
    </x:row>
    <x:row r="275">
      <x:c r="A275" s="22" t="str">
        <x:f>IF(D275="","","SIG-"&amp;TEXT(ROW()-2,"0000"))</x:f>
      </x:c>
      <x:c r="B275" s="26"/>
      <x:c r="C275" s="22"/>
      <x:c r="D275" s="22"/>
      <x:c r="E275" s="22"/>
      <x:c r="F275" s="22"/>
      <x:c r="G275" s="22"/>
      <x:c r="H275" s="22"/>
      <x:c r="I275" s="22"/>
      <x:c r="J275" s="22"/>
      <x:c r="K275" s="22"/>
      <x:c r="L275" s="22"/>
      <x:c r="M275" s="22"/>
      <x:c r="N275" s="26"/>
      <x:c r="O275" s="22"/>
      <x:c r="P275" s="22" t="str">
        <x:f>IF(OR(B275="",J275="Закрыт"),"",TODAY()-B275)</x:f>
      </x:c>
    </x:row>
    <x:row r="276">
      <x:c r="A276" s="22" t="str">
        <x:f>IF(D276="","","SIG-"&amp;TEXT(ROW()-2,"0000"))</x:f>
      </x:c>
      <x:c r="B276" s="26"/>
      <x:c r="C276" s="22"/>
      <x:c r="D276" s="22"/>
      <x:c r="E276" s="22"/>
      <x:c r="F276" s="22"/>
      <x:c r="G276" s="22"/>
      <x:c r="H276" s="22"/>
      <x:c r="I276" s="22"/>
      <x:c r="J276" s="22"/>
      <x:c r="K276" s="22"/>
      <x:c r="L276" s="22"/>
      <x:c r="M276" s="22"/>
      <x:c r="N276" s="26"/>
      <x:c r="O276" s="22"/>
      <x:c r="P276" s="22" t="str">
        <x:f>IF(OR(B276="",J276="Закрыт"),"",TODAY()-B276)</x:f>
      </x:c>
    </x:row>
    <x:row r="277">
      <x:c r="A277" s="22" t="str">
        <x:f>IF(D277="","","SIG-"&amp;TEXT(ROW()-2,"0000"))</x:f>
      </x:c>
      <x:c r="B277" s="26"/>
      <x:c r="C277" s="22"/>
      <x:c r="D277" s="22"/>
      <x:c r="E277" s="22"/>
      <x:c r="F277" s="22"/>
      <x:c r="G277" s="22"/>
      <x:c r="H277" s="22"/>
      <x:c r="I277" s="22"/>
      <x:c r="J277" s="22"/>
      <x:c r="K277" s="22"/>
      <x:c r="L277" s="22"/>
      <x:c r="M277" s="22"/>
      <x:c r="N277" s="26"/>
      <x:c r="O277" s="22"/>
      <x:c r="P277" s="22" t="str">
        <x:f>IF(OR(B277="",J277="Закрыт"),"",TODAY()-B277)</x:f>
      </x:c>
    </x:row>
    <x:row r="278">
      <x:c r="A278" s="22" t="str">
        <x:f>IF(D278="","","SIG-"&amp;TEXT(ROW()-2,"0000"))</x:f>
      </x:c>
      <x:c r="B278" s="26"/>
      <x:c r="C278" s="22"/>
      <x:c r="D278" s="22"/>
      <x:c r="E278" s="22"/>
      <x:c r="F278" s="22"/>
      <x:c r="G278" s="22"/>
      <x:c r="H278" s="22"/>
      <x:c r="I278" s="22"/>
      <x:c r="J278" s="22"/>
      <x:c r="K278" s="22"/>
      <x:c r="L278" s="22"/>
      <x:c r="M278" s="22"/>
      <x:c r="N278" s="26"/>
      <x:c r="O278" s="22"/>
      <x:c r="P278" s="22" t="str">
        <x:f>IF(OR(B278="",J278="Закрыт"),"",TODAY()-B278)</x:f>
      </x:c>
    </x:row>
    <x:row r="279">
      <x:c r="A279" s="22" t="str">
        <x:f>IF(D279="","","SIG-"&amp;TEXT(ROW()-2,"0000"))</x:f>
      </x:c>
      <x:c r="B279" s="26"/>
      <x:c r="C279" s="22"/>
      <x:c r="D279" s="22"/>
      <x:c r="E279" s="22"/>
      <x:c r="F279" s="22"/>
      <x:c r="G279" s="22"/>
      <x:c r="H279" s="22"/>
      <x:c r="I279" s="22"/>
      <x:c r="J279" s="22"/>
      <x:c r="K279" s="22"/>
      <x:c r="L279" s="22"/>
      <x:c r="M279" s="22"/>
      <x:c r="N279" s="26"/>
      <x:c r="O279" s="22"/>
      <x:c r="P279" s="22" t="str">
        <x:f>IF(OR(B279="",J279="Закрыт"),"",TODAY()-B279)</x:f>
      </x:c>
    </x:row>
    <x:row r="280">
      <x:c r="A280" s="22" t="str">
        <x:f>IF(D280="","","SIG-"&amp;TEXT(ROW()-2,"0000"))</x:f>
      </x:c>
      <x:c r="B280" s="26"/>
      <x:c r="C280" s="22"/>
      <x:c r="D280" s="22"/>
      <x:c r="E280" s="22"/>
      <x:c r="F280" s="22"/>
      <x:c r="G280" s="22"/>
      <x:c r="H280" s="22"/>
      <x:c r="I280" s="22"/>
      <x:c r="J280" s="22"/>
      <x:c r="K280" s="22"/>
      <x:c r="L280" s="22"/>
      <x:c r="M280" s="22"/>
      <x:c r="N280" s="26"/>
      <x:c r="O280" s="22"/>
      <x:c r="P280" s="22" t="str">
        <x:f>IF(OR(B280="",J280="Закрыт"),"",TODAY()-B280)</x:f>
      </x:c>
    </x:row>
    <x:row r="281">
      <x:c r="A281" s="22" t="str">
        <x:f>IF(D281="","","SIG-"&amp;TEXT(ROW()-2,"0000"))</x:f>
      </x:c>
      <x:c r="B281" s="26"/>
      <x:c r="C281" s="22"/>
      <x:c r="D281" s="22"/>
      <x:c r="E281" s="22"/>
      <x:c r="F281" s="22"/>
      <x:c r="G281" s="22"/>
      <x:c r="H281" s="22"/>
      <x:c r="I281" s="22"/>
      <x:c r="J281" s="22"/>
      <x:c r="K281" s="22"/>
      <x:c r="L281" s="22"/>
      <x:c r="M281" s="22"/>
      <x:c r="N281" s="26"/>
      <x:c r="O281" s="22"/>
      <x:c r="P281" s="22" t="str">
        <x:f>IF(OR(B281="",J281="Закрыт"),"",TODAY()-B281)</x:f>
      </x:c>
    </x:row>
    <x:row r="282">
      <x:c r="A282" s="22" t="str">
        <x:f>IF(D282="","","SIG-"&amp;TEXT(ROW()-2,"0000"))</x:f>
      </x:c>
      <x:c r="B282" s="26"/>
      <x:c r="C282" s="22"/>
      <x:c r="D282" s="22"/>
      <x:c r="E282" s="22"/>
      <x:c r="F282" s="22"/>
      <x:c r="G282" s="22"/>
      <x:c r="H282" s="22"/>
      <x:c r="I282" s="22"/>
      <x:c r="J282" s="22"/>
      <x:c r="K282" s="22"/>
      <x:c r="L282" s="22"/>
      <x:c r="M282" s="22"/>
      <x:c r="N282" s="26"/>
      <x:c r="O282" s="22"/>
      <x:c r="P282" s="22" t="str">
        <x:f>IF(OR(B282="",J282="Закрыт"),"",TODAY()-B282)</x:f>
      </x:c>
    </x:row>
    <x:row r="283">
      <x:c r="A283" s="22" t="str">
        <x:f>IF(D283="","","SIG-"&amp;TEXT(ROW()-2,"0000"))</x:f>
      </x:c>
      <x:c r="B283" s="26"/>
      <x:c r="C283" s="22"/>
      <x:c r="D283" s="22"/>
      <x:c r="E283" s="22"/>
      <x:c r="F283" s="22"/>
      <x:c r="G283" s="22"/>
      <x:c r="H283" s="22"/>
      <x:c r="I283" s="22"/>
      <x:c r="J283" s="22"/>
      <x:c r="K283" s="22"/>
      <x:c r="L283" s="22"/>
      <x:c r="M283" s="22"/>
      <x:c r="N283" s="26"/>
      <x:c r="O283" s="22"/>
      <x:c r="P283" s="22" t="str">
        <x:f>IF(OR(B283="",J283="Закрыт"),"",TODAY()-B283)</x:f>
      </x:c>
    </x:row>
    <x:row r="284">
      <x:c r="A284" s="22" t="str">
        <x:f>IF(D284="","","SIG-"&amp;TEXT(ROW()-2,"0000"))</x:f>
      </x:c>
      <x:c r="B284" s="26"/>
      <x:c r="C284" s="22"/>
      <x:c r="D284" s="22"/>
      <x:c r="E284" s="22"/>
      <x:c r="F284" s="22"/>
      <x:c r="G284" s="22"/>
      <x:c r="H284" s="22"/>
      <x:c r="I284" s="22"/>
      <x:c r="J284" s="22"/>
      <x:c r="K284" s="22"/>
      <x:c r="L284" s="22"/>
      <x:c r="M284" s="22"/>
      <x:c r="N284" s="26"/>
      <x:c r="O284" s="22"/>
      <x:c r="P284" s="22" t="str">
        <x:f>IF(OR(B284="",J284="Закрыт"),"",TODAY()-B284)</x:f>
      </x:c>
    </x:row>
    <x:row r="285">
      <x:c r="A285" s="22" t="str">
        <x:f>IF(D285="","","SIG-"&amp;TEXT(ROW()-2,"0000"))</x:f>
      </x:c>
      <x:c r="B285" s="26"/>
      <x:c r="C285" s="22"/>
      <x:c r="D285" s="22"/>
      <x:c r="E285" s="22"/>
      <x:c r="F285" s="22"/>
      <x:c r="G285" s="22"/>
      <x:c r="H285" s="22"/>
      <x:c r="I285" s="22"/>
      <x:c r="J285" s="22"/>
      <x:c r="K285" s="22"/>
      <x:c r="L285" s="22"/>
      <x:c r="M285" s="22"/>
      <x:c r="N285" s="26"/>
      <x:c r="O285" s="22"/>
      <x:c r="P285" s="22" t="str">
        <x:f>IF(OR(B285="",J285="Закрыт"),"",TODAY()-B285)</x:f>
      </x:c>
    </x:row>
    <x:row r="286">
      <x:c r="A286" s="22" t="str">
        <x:f>IF(D286="","","SIG-"&amp;TEXT(ROW()-2,"0000"))</x:f>
      </x:c>
      <x:c r="B286" s="26"/>
      <x:c r="C286" s="22"/>
      <x:c r="D286" s="22"/>
      <x:c r="E286" s="22"/>
      <x:c r="F286" s="22"/>
      <x:c r="G286" s="22"/>
      <x:c r="H286" s="22"/>
      <x:c r="I286" s="22"/>
      <x:c r="J286" s="22"/>
      <x:c r="K286" s="22"/>
      <x:c r="L286" s="22"/>
      <x:c r="M286" s="22"/>
      <x:c r="N286" s="26"/>
      <x:c r="O286" s="22"/>
      <x:c r="P286" s="22" t="str">
        <x:f>IF(OR(B286="",J286="Закрыт"),"",TODAY()-B286)</x:f>
      </x:c>
    </x:row>
    <x:row r="287">
      <x:c r="A287" s="22" t="str">
        <x:f>IF(D287="","","SIG-"&amp;TEXT(ROW()-2,"0000"))</x:f>
      </x:c>
      <x:c r="B287" s="26"/>
      <x:c r="C287" s="22"/>
      <x:c r="D287" s="22"/>
      <x:c r="E287" s="22"/>
      <x:c r="F287" s="22"/>
      <x:c r="G287" s="22"/>
      <x:c r="H287" s="22"/>
      <x:c r="I287" s="22"/>
      <x:c r="J287" s="22"/>
      <x:c r="K287" s="22"/>
      <x:c r="L287" s="22"/>
      <x:c r="M287" s="22"/>
      <x:c r="N287" s="26"/>
      <x:c r="O287" s="22"/>
      <x:c r="P287" s="22" t="str">
        <x:f>IF(OR(B287="",J287="Закрыт"),"",TODAY()-B287)</x:f>
      </x:c>
    </x:row>
    <x:row r="288">
      <x:c r="A288" s="22" t="str">
        <x:f>IF(D288="","","SIG-"&amp;TEXT(ROW()-2,"0000"))</x:f>
      </x:c>
      <x:c r="B288" s="26"/>
      <x:c r="C288" s="22"/>
      <x:c r="D288" s="22"/>
      <x:c r="E288" s="22"/>
      <x:c r="F288" s="22"/>
      <x:c r="G288" s="22"/>
      <x:c r="H288" s="22"/>
      <x:c r="I288" s="22"/>
      <x:c r="J288" s="22"/>
      <x:c r="K288" s="22"/>
      <x:c r="L288" s="22"/>
      <x:c r="M288" s="22"/>
      <x:c r="N288" s="26"/>
      <x:c r="O288" s="22"/>
      <x:c r="P288" s="22" t="str">
        <x:f>IF(OR(B288="",J288="Закрыт"),"",TODAY()-B288)</x:f>
      </x:c>
    </x:row>
    <x:row r="289">
      <x:c r="A289" s="22" t="str">
        <x:f>IF(D289="","","SIG-"&amp;TEXT(ROW()-2,"0000"))</x:f>
      </x:c>
      <x:c r="B289" s="26"/>
      <x:c r="C289" s="22"/>
      <x:c r="D289" s="22"/>
      <x:c r="E289" s="22"/>
      <x:c r="F289" s="22"/>
      <x:c r="G289" s="22"/>
      <x:c r="H289" s="22"/>
      <x:c r="I289" s="22"/>
      <x:c r="J289" s="22"/>
      <x:c r="K289" s="22"/>
      <x:c r="L289" s="22"/>
      <x:c r="M289" s="22"/>
      <x:c r="N289" s="26"/>
      <x:c r="O289" s="22"/>
      <x:c r="P289" s="22" t="str">
        <x:f>IF(OR(B289="",J289="Закрыт"),"",TODAY()-B289)</x:f>
      </x:c>
    </x:row>
    <x:row r="290">
      <x:c r="A290" s="22" t="str">
        <x:f>IF(D290="","","SIG-"&amp;TEXT(ROW()-2,"0000"))</x:f>
      </x:c>
      <x:c r="B290" s="26"/>
      <x:c r="C290" s="22"/>
      <x:c r="D290" s="22"/>
      <x:c r="E290" s="22"/>
      <x:c r="F290" s="22"/>
      <x:c r="G290" s="22"/>
      <x:c r="H290" s="22"/>
      <x:c r="I290" s="22"/>
      <x:c r="J290" s="22"/>
      <x:c r="K290" s="22"/>
      <x:c r="L290" s="22"/>
      <x:c r="M290" s="22"/>
      <x:c r="N290" s="26"/>
      <x:c r="O290" s="22"/>
      <x:c r="P290" s="22" t="str">
        <x:f>IF(OR(B290="",J290="Закрыт"),"",TODAY()-B290)</x:f>
      </x:c>
    </x:row>
    <x:row r="291">
      <x:c r="A291" s="22" t="str">
        <x:f>IF(D291="","","SIG-"&amp;TEXT(ROW()-2,"0000"))</x:f>
      </x:c>
      <x:c r="B291" s="26"/>
      <x:c r="C291" s="22"/>
      <x:c r="D291" s="22"/>
      <x:c r="E291" s="22"/>
      <x:c r="F291" s="22"/>
      <x:c r="G291" s="22"/>
      <x:c r="H291" s="22"/>
      <x:c r="I291" s="22"/>
      <x:c r="J291" s="22"/>
      <x:c r="K291" s="22"/>
      <x:c r="L291" s="22"/>
      <x:c r="M291" s="22"/>
      <x:c r="N291" s="26"/>
      <x:c r="O291" s="22"/>
      <x:c r="P291" s="22" t="str">
        <x:f>IF(OR(B291="",J291="Закрыт"),"",TODAY()-B291)</x:f>
      </x:c>
    </x:row>
    <x:row r="292">
      <x:c r="A292" s="22" t="str">
        <x:f>IF(D292="","","SIG-"&amp;TEXT(ROW()-2,"0000"))</x:f>
      </x:c>
      <x:c r="B292" s="26"/>
      <x:c r="C292" s="22"/>
      <x:c r="D292" s="22"/>
      <x:c r="E292" s="22"/>
      <x:c r="F292" s="22"/>
      <x:c r="G292" s="22"/>
      <x:c r="H292" s="22"/>
      <x:c r="I292" s="22"/>
      <x:c r="J292" s="22"/>
      <x:c r="K292" s="22"/>
      <x:c r="L292" s="22"/>
      <x:c r="M292" s="22"/>
      <x:c r="N292" s="26"/>
      <x:c r="O292" s="22"/>
      <x:c r="P292" s="22" t="str">
        <x:f>IF(OR(B292="",J292="Закрыт"),"",TODAY()-B292)</x:f>
      </x:c>
    </x:row>
    <x:row r="293">
      <x:c r="A293" s="22" t="str">
        <x:f>IF(D293="","","SIG-"&amp;TEXT(ROW()-2,"0000"))</x:f>
      </x:c>
      <x:c r="B293" s="26"/>
      <x:c r="C293" s="22"/>
      <x:c r="D293" s="22"/>
      <x:c r="E293" s="22"/>
      <x:c r="F293" s="22"/>
      <x:c r="G293" s="22"/>
      <x:c r="H293" s="22"/>
      <x:c r="I293" s="22"/>
      <x:c r="J293" s="22"/>
      <x:c r="K293" s="22"/>
      <x:c r="L293" s="22"/>
      <x:c r="M293" s="22"/>
      <x:c r="N293" s="26"/>
      <x:c r="O293" s="22"/>
      <x:c r="P293" s="22" t="str">
        <x:f>IF(OR(B293="",J293="Закрыт"),"",TODAY()-B293)</x:f>
      </x:c>
    </x:row>
    <x:row r="294">
      <x:c r="A294" s="22" t="str">
        <x:f>IF(D294="","","SIG-"&amp;TEXT(ROW()-2,"0000"))</x:f>
      </x:c>
      <x:c r="B294" s="26"/>
      <x:c r="C294" s="22"/>
      <x:c r="D294" s="22"/>
      <x:c r="E294" s="22"/>
      <x:c r="F294" s="22"/>
      <x:c r="G294" s="22"/>
      <x:c r="H294" s="22"/>
      <x:c r="I294" s="22"/>
      <x:c r="J294" s="22"/>
      <x:c r="K294" s="22"/>
      <x:c r="L294" s="22"/>
      <x:c r="M294" s="22"/>
      <x:c r="N294" s="26"/>
      <x:c r="O294" s="22"/>
      <x:c r="P294" s="22" t="str">
        <x:f>IF(OR(B294="",J294="Закрыт"),"",TODAY()-B294)</x:f>
      </x:c>
    </x:row>
    <x:row r="295">
      <x:c r="A295" s="22" t="str">
        <x:f>IF(D295="","","SIG-"&amp;TEXT(ROW()-2,"0000"))</x:f>
      </x:c>
      <x:c r="B295" s="26"/>
      <x:c r="C295" s="22"/>
      <x:c r="D295" s="22"/>
      <x:c r="E295" s="22"/>
      <x:c r="F295" s="22"/>
      <x:c r="G295" s="22"/>
      <x:c r="H295" s="22"/>
      <x:c r="I295" s="22"/>
      <x:c r="J295" s="22"/>
      <x:c r="K295" s="22"/>
      <x:c r="L295" s="22"/>
      <x:c r="M295" s="22"/>
      <x:c r="N295" s="26"/>
      <x:c r="O295" s="22"/>
      <x:c r="P295" s="22" t="str">
        <x:f>IF(OR(B295="",J295="Закрыт"),"",TODAY()-B295)</x:f>
      </x:c>
    </x:row>
    <x:row r="296">
      <x:c r="A296" s="22" t="str">
        <x:f>IF(D296="","","SIG-"&amp;TEXT(ROW()-2,"0000"))</x:f>
      </x:c>
      <x:c r="B296" s="26"/>
      <x:c r="C296" s="22"/>
      <x:c r="D296" s="22"/>
      <x:c r="E296" s="22"/>
      <x:c r="F296" s="22"/>
      <x:c r="G296" s="22"/>
      <x:c r="H296" s="22"/>
      <x:c r="I296" s="22"/>
      <x:c r="J296" s="22"/>
      <x:c r="K296" s="22"/>
      <x:c r="L296" s="22"/>
      <x:c r="M296" s="22"/>
      <x:c r="N296" s="26"/>
      <x:c r="O296" s="22"/>
      <x:c r="P296" s="22" t="str">
        <x:f>IF(OR(B296="",J296="Закрыт"),"",TODAY()-B296)</x:f>
      </x:c>
    </x:row>
    <x:row r="297">
      <x:c r="A297" s="22" t="str">
        <x:f>IF(D297="","","SIG-"&amp;TEXT(ROW()-2,"0000"))</x:f>
      </x:c>
      <x:c r="B297" s="26"/>
      <x:c r="C297" s="22"/>
      <x:c r="D297" s="22"/>
      <x:c r="E297" s="22"/>
      <x:c r="F297" s="22"/>
      <x:c r="G297" s="22"/>
      <x:c r="H297" s="22"/>
      <x:c r="I297" s="22"/>
      <x:c r="J297" s="22"/>
      <x:c r="K297" s="22"/>
      <x:c r="L297" s="22"/>
      <x:c r="M297" s="22"/>
      <x:c r="N297" s="26"/>
      <x:c r="O297" s="22"/>
      <x:c r="P297" s="22" t="str">
        <x:f>IF(OR(B297="",J297="Закрыт"),"",TODAY()-B297)</x:f>
      </x:c>
    </x:row>
    <x:row r="298">
      <x:c r="A298" s="22" t="str">
        <x:f>IF(D298="","","SIG-"&amp;TEXT(ROW()-2,"0000"))</x:f>
      </x:c>
      <x:c r="B298" s="26"/>
      <x:c r="C298" s="22"/>
      <x:c r="D298" s="22"/>
      <x:c r="E298" s="22"/>
      <x:c r="F298" s="22"/>
      <x:c r="G298" s="22"/>
      <x:c r="H298" s="22"/>
      <x:c r="I298" s="22"/>
      <x:c r="J298" s="22"/>
      <x:c r="K298" s="22"/>
      <x:c r="L298" s="22"/>
      <x:c r="M298" s="22"/>
      <x:c r="N298" s="26"/>
      <x:c r="O298" s="22"/>
      <x:c r="P298" s="22" t="str">
        <x:f>IF(OR(B298="",J298="Закрыт"),"",TODAY()-B298)</x:f>
      </x:c>
    </x:row>
    <x:row r="299">
      <x:c r="A299" s="22" t="str">
        <x:f>IF(D299="","","SIG-"&amp;TEXT(ROW()-2,"0000"))</x:f>
      </x:c>
      <x:c r="B299" s="26"/>
      <x:c r="C299" s="22"/>
      <x:c r="D299" s="22"/>
      <x:c r="E299" s="22"/>
      <x:c r="F299" s="22"/>
      <x:c r="G299" s="22"/>
      <x:c r="H299" s="22"/>
      <x:c r="I299" s="22"/>
      <x:c r="J299" s="22"/>
      <x:c r="K299" s="22"/>
      <x:c r="L299" s="22"/>
      <x:c r="M299" s="22"/>
      <x:c r="N299" s="26"/>
      <x:c r="O299" s="22"/>
      <x:c r="P299" s="22" t="str">
        <x:f>IF(OR(B299="",J299="Закрыт"),"",TODAY()-B299)</x:f>
      </x:c>
    </x:row>
    <x:row r="300">
      <x:c r="A300" s="22" t="str">
        <x:f>IF(D300="","","SIG-"&amp;TEXT(ROW()-2,"0000"))</x:f>
      </x:c>
      <x:c r="B300" s="26"/>
      <x:c r="C300" s="22"/>
      <x:c r="D300" s="22"/>
      <x:c r="E300" s="22"/>
      <x:c r="F300" s="22"/>
      <x:c r="G300" s="22"/>
      <x:c r="H300" s="22"/>
      <x:c r="I300" s="22"/>
      <x:c r="J300" s="22"/>
      <x:c r="K300" s="22"/>
      <x:c r="L300" s="22"/>
      <x:c r="M300" s="22"/>
      <x:c r="N300" s="26"/>
      <x:c r="O300" s="22"/>
      <x:c r="P300" s="22" t="str">
        <x:f>IF(OR(B300="",J300="Закрыт"),"",TODAY()-B300)</x:f>
      </x:c>
    </x:row>
    <x:row r="301">
      <x:c r="A301" s="22" t="str">
        <x:f>IF(D301="","","SIG-"&amp;TEXT(ROW()-2,"0000"))</x:f>
      </x:c>
      <x:c r="B301" s="26"/>
      <x:c r="C301" s="22"/>
      <x:c r="D301" s="22"/>
      <x:c r="E301" s="22"/>
      <x:c r="F301" s="22"/>
      <x:c r="G301" s="22"/>
      <x:c r="H301" s="22"/>
      <x:c r="I301" s="22"/>
      <x:c r="J301" s="22"/>
      <x:c r="K301" s="22"/>
      <x:c r="L301" s="22"/>
      <x:c r="M301" s="22"/>
      <x:c r="N301" s="26"/>
      <x:c r="O301" s="22"/>
      <x:c r="P301" s="22" t="str">
        <x:f>IF(OR(B301="",J301="Закрыт"),"",TODAY()-B301)</x:f>
      </x:c>
    </x:row>
    <x:row r="302">
      <x:c r="A302" s="22" t="str">
        <x:f>IF(D302="","","SIG-"&amp;TEXT(ROW()-2,"0000"))</x:f>
      </x:c>
      <x:c r="B302" s="26"/>
      <x:c r="C302" s="22"/>
      <x:c r="D302" s="22"/>
      <x:c r="E302" s="22"/>
      <x:c r="F302" s="22"/>
      <x:c r="G302" s="22"/>
      <x:c r="H302" s="22"/>
      <x:c r="I302" s="22"/>
      <x:c r="J302" s="22"/>
      <x:c r="K302" s="22"/>
      <x:c r="L302" s="22"/>
      <x:c r="M302" s="22"/>
      <x:c r="N302" s="26"/>
      <x:c r="O302" s="22"/>
      <x:c r="P302" s="22" t="str">
        <x:f>IF(OR(B302="",J302="Закрыт"),"",TODAY()-B302)</x:f>
      </x:c>
    </x:row>
    <x:row r="303">
      <x:c r="A303" s="22" t="str">
        <x:f>IF(D303="","","SIG-"&amp;TEXT(ROW()-2,"0000"))</x:f>
      </x:c>
      <x:c r="B303" s="26"/>
      <x:c r="C303" s="22"/>
      <x:c r="D303" s="22"/>
      <x:c r="E303" s="22"/>
      <x:c r="F303" s="22"/>
      <x:c r="G303" s="22"/>
      <x:c r="H303" s="22"/>
      <x:c r="I303" s="22"/>
      <x:c r="J303" s="22"/>
      <x:c r="K303" s="22"/>
      <x:c r="L303" s="22"/>
      <x:c r="M303" s="22"/>
      <x:c r="N303" s="26"/>
      <x:c r="O303" s="22"/>
      <x:c r="P303" s="22" t="str">
        <x:f>IF(OR(B303="",J303="Закрыт"),"",TODAY()-B303)</x:f>
      </x:c>
    </x:row>
    <x:row r="304">
      <x:c r="A304" s="22" t="str">
        <x:f>IF(D304="","","SIG-"&amp;TEXT(ROW()-2,"0000"))</x:f>
      </x:c>
      <x:c r="B304" s="26"/>
      <x:c r="C304" s="22"/>
      <x:c r="D304" s="22"/>
      <x:c r="E304" s="22"/>
      <x:c r="F304" s="22"/>
      <x:c r="G304" s="22"/>
      <x:c r="H304" s="22"/>
      <x:c r="I304" s="22"/>
      <x:c r="J304" s="22"/>
      <x:c r="K304" s="22"/>
      <x:c r="L304" s="22"/>
      <x:c r="M304" s="22"/>
      <x:c r="N304" s="26"/>
      <x:c r="O304" s="22"/>
      <x:c r="P304" s="22" t="str">
        <x:f>IF(OR(B304="",J304="Закрыт"),"",TODAY()-B304)</x:f>
      </x:c>
    </x:row>
    <x:row r="305">
      <x:c r="A305" s="22" t="str">
        <x:f>IF(D305="","","SIG-"&amp;TEXT(ROW()-2,"0000"))</x:f>
      </x:c>
      <x:c r="B305" s="26"/>
      <x:c r="C305" s="22"/>
      <x:c r="D305" s="22"/>
      <x:c r="E305" s="22"/>
      <x:c r="F305" s="22"/>
      <x:c r="G305" s="22"/>
      <x:c r="H305" s="22"/>
      <x:c r="I305" s="22"/>
      <x:c r="J305" s="22"/>
      <x:c r="K305" s="22"/>
      <x:c r="L305" s="22"/>
      <x:c r="M305" s="22"/>
      <x:c r="N305" s="26"/>
      <x:c r="O305" s="22"/>
      <x:c r="P305" s="22" t="str">
        <x:f>IF(OR(B305="",J305="Закрыт"),"",TODAY()-B305)</x:f>
      </x:c>
    </x:row>
    <x:row r="306">
      <x:c r="A306" s="22" t="str">
        <x:f>IF(D306="","","SIG-"&amp;TEXT(ROW()-2,"0000"))</x:f>
      </x:c>
      <x:c r="B306" s="26"/>
      <x:c r="C306" s="22"/>
      <x:c r="D306" s="22"/>
      <x:c r="E306" s="22"/>
      <x:c r="F306" s="22"/>
      <x:c r="G306" s="22"/>
      <x:c r="H306" s="22"/>
      <x:c r="I306" s="22"/>
      <x:c r="J306" s="22"/>
      <x:c r="K306" s="22"/>
      <x:c r="L306" s="22"/>
      <x:c r="M306" s="22"/>
      <x:c r="N306" s="26"/>
      <x:c r="O306" s="22"/>
      <x:c r="P306" s="22" t="str">
        <x:f>IF(OR(B306="",J306="Закрыт"),"",TODAY()-B306)</x:f>
      </x:c>
    </x:row>
    <x:row r="307">
      <x:c r="A307" s="22" t="str">
        <x:f>IF(D307="","","SIG-"&amp;TEXT(ROW()-2,"0000"))</x:f>
      </x:c>
      <x:c r="B307" s="26"/>
      <x:c r="C307" s="22"/>
      <x:c r="D307" s="22"/>
      <x:c r="E307" s="22"/>
      <x:c r="F307" s="22"/>
      <x:c r="G307" s="22"/>
      <x:c r="H307" s="22"/>
      <x:c r="I307" s="22"/>
      <x:c r="J307" s="22"/>
      <x:c r="K307" s="22"/>
      <x:c r="L307" s="22"/>
      <x:c r="M307" s="22"/>
      <x:c r="N307" s="26"/>
      <x:c r="O307" s="22"/>
      <x:c r="P307" s="22" t="str">
        <x:f>IF(OR(B307="",J307="Закрыт"),"",TODAY()-B307)</x:f>
      </x:c>
    </x:row>
    <x:row r="308">
      <x:c r="A308" s="22" t="str">
        <x:f>IF(D308="","","SIG-"&amp;TEXT(ROW()-2,"0000"))</x:f>
      </x:c>
      <x:c r="B308" s="26"/>
      <x:c r="C308" s="22"/>
      <x:c r="D308" s="22"/>
      <x:c r="E308" s="22"/>
      <x:c r="F308" s="22"/>
      <x:c r="G308" s="22"/>
      <x:c r="H308" s="22"/>
      <x:c r="I308" s="22"/>
      <x:c r="J308" s="22"/>
      <x:c r="K308" s="22"/>
      <x:c r="L308" s="22"/>
      <x:c r="M308" s="22"/>
      <x:c r="N308" s="26"/>
      <x:c r="O308" s="22"/>
      <x:c r="P308" s="22" t="str">
        <x:f>IF(OR(B308="",J308="Закрыт"),"",TODAY()-B308)</x:f>
      </x:c>
    </x:row>
    <x:row r="309">
      <x:c r="A309" s="22" t="str">
        <x:f>IF(D309="","","SIG-"&amp;TEXT(ROW()-2,"0000"))</x:f>
      </x:c>
      <x:c r="B309" s="26"/>
      <x:c r="C309" s="22"/>
      <x:c r="D309" s="22"/>
      <x:c r="E309" s="22"/>
      <x:c r="F309" s="22"/>
      <x:c r="G309" s="22"/>
      <x:c r="H309" s="22"/>
      <x:c r="I309" s="22"/>
      <x:c r="J309" s="22"/>
      <x:c r="K309" s="22"/>
      <x:c r="L309" s="22"/>
      <x:c r="M309" s="22"/>
      <x:c r="N309" s="26"/>
      <x:c r="O309" s="22"/>
      <x:c r="P309" s="22" t="str">
        <x:f>IF(OR(B309="",J309="Закрыт"),"",TODAY()-B309)</x:f>
      </x:c>
    </x:row>
    <x:row r="310">
      <x:c r="A310" s="22" t="str">
        <x:f>IF(D310="","","SIG-"&amp;TEXT(ROW()-2,"0000"))</x:f>
      </x:c>
      <x:c r="B310" s="26"/>
      <x:c r="C310" s="22"/>
      <x:c r="D310" s="22"/>
      <x:c r="E310" s="22"/>
      <x:c r="F310" s="22"/>
      <x:c r="G310" s="22"/>
      <x:c r="H310" s="22"/>
      <x:c r="I310" s="22"/>
      <x:c r="J310" s="22"/>
      <x:c r="K310" s="22"/>
      <x:c r="L310" s="22"/>
      <x:c r="M310" s="22"/>
      <x:c r="N310" s="26"/>
      <x:c r="O310" s="22"/>
      <x:c r="P310" s="22" t="str">
        <x:f>IF(OR(B310="",J310="Закрыт"),"",TODAY()-B310)</x:f>
      </x:c>
    </x:row>
    <x:row r="311">
      <x:c r="A311" s="22" t="str">
        <x:f>IF(D311="","","SIG-"&amp;TEXT(ROW()-2,"0000"))</x:f>
      </x:c>
      <x:c r="B311" s="26"/>
      <x:c r="C311" s="22"/>
      <x:c r="D311" s="22"/>
      <x:c r="E311" s="22"/>
      <x:c r="F311" s="22"/>
      <x:c r="G311" s="22"/>
      <x:c r="H311" s="22"/>
      <x:c r="I311" s="22"/>
      <x:c r="J311" s="22"/>
      <x:c r="K311" s="22"/>
      <x:c r="L311" s="22"/>
      <x:c r="M311" s="22"/>
      <x:c r="N311" s="26"/>
      <x:c r="O311" s="22"/>
      <x:c r="P311" s="22" t="str">
        <x:f>IF(OR(B311="",J311="Закрыт"),"",TODAY()-B311)</x:f>
      </x:c>
    </x:row>
    <x:row r="312">
      <x:c r="A312" s="22" t="str">
        <x:f>IF(D312="","","SIG-"&amp;TEXT(ROW()-2,"0000"))</x:f>
      </x:c>
      <x:c r="B312" s="26"/>
      <x:c r="C312" s="22"/>
      <x:c r="D312" s="22"/>
      <x:c r="E312" s="22"/>
      <x:c r="F312" s="22"/>
      <x:c r="G312" s="22"/>
      <x:c r="H312" s="22"/>
      <x:c r="I312" s="22"/>
      <x:c r="J312" s="22"/>
      <x:c r="K312" s="22"/>
      <x:c r="L312" s="22"/>
      <x:c r="M312" s="22"/>
      <x:c r="N312" s="26"/>
      <x:c r="O312" s="22"/>
      <x:c r="P312" s="22" t="str">
        <x:f>IF(OR(B312="",J312="Закрыт"),"",TODAY()-B312)</x:f>
      </x:c>
    </x:row>
    <x:row r="313">
      <x:c r="A313" s="22" t="str">
        <x:f>IF(D313="","","SIG-"&amp;TEXT(ROW()-2,"0000"))</x:f>
      </x:c>
      <x:c r="B313" s="26"/>
      <x:c r="C313" s="22"/>
      <x:c r="D313" s="22"/>
      <x:c r="E313" s="22"/>
      <x:c r="F313" s="22"/>
      <x:c r="G313" s="22"/>
      <x:c r="H313" s="22"/>
      <x:c r="I313" s="22"/>
      <x:c r="J313" s="22"/>
      <x:c r="K313" s="22"/>
      <x:c r="L313" s="22"/>
      <x:c r="M313" s="22"/>
      <x:c r="N313" s="26"/>
      <x:c r="O313" s="22"/>
      <x:c r="P313" s="22" t="str">
        <x:f>IF(OR(B313="",J313="Закрыт"),"",TODAY()-B313)</x:f>
      </x:c>
    </x:row>
    <x:row r="314">
      <x:c r="A314" s="22" t="str">
        <x:f>IF(D314="","","SIG-"&amp;TEXT(ROW()-2,"0000"))</x:f>
      </x:c>
      <x:c r="B314" s="26"/>
      <x:c r="C314" s="22"/>
      <x:c r="D314" s="22"/>
      <x:c r="E314" s="22"/>
      <x:c r="F314" s="22"/>
      <x:c r="G314" s="22"/>
      <x:c r="H314" s="22"/>
      <x:c r="I314" s="22"/>
      <x:c r="J314" s="22"/>
      <x:c r="K314" s="22"/>
      <x:c r="L314" s="22"/>
      <x:c r="M314" s="22"/>
      <x:c r="N314" s="26"/>
      <x:c r="O314" s="22"/>
      <x:c r="P314" s="22" t="str">
        <x:f>IF(OR(B314="",J314="Закрыт"),"",TODAY()-B314)</x:f>
      </x:c>
    </x:row>
    <x:row r="315">
      <x:c r="A315" s="22" t="str">
        <x:f>IF(D315="","","SIG-"&amp;TEXT(ROW()-2,"0000"))</x:f>
      </x:c>
      <x:c r="B315" s="26"/>
      <x:c r="C315" s="22"/>
      <x:c r="D315" s="22"/>
      <x:c r="E315" s="22"/>
      <x:c r="F315" s="22"/>
      <x:c r="G315" s="22"/>
      <x:c r="H315" s="22"/>
      <x:c r="I315" s="22"/>
      <x:c r="J315" s="22"/>
      <x:c r="K315" s="22"/>
      <x:c r="L315" s="22"/>
      <x:c r="M315" s="22"/>
      <x:c r="N315" s="26"/>
      <x:c r="O315" s="22"/>
      <x:c r="P315" s="22" t="str">
        <x:f>IF(OR(B315="",J315="Закрыт"),"",TODAY()-B315)</x:f>
      </x:c>
    </x:row>
    <x:row r="316">
      <x:c r="A316" s="22" t="str">
        <x:f>IF(D316="","","SIG-"&amp;TEXT(ROW()-2,"0000"))</x:f>
      </x:c>
      <x:c r="B316" s="26"/>
      <x:c r="C316" s="22"/>
      <x:c r="D316" s="22"/>
      <x:c r="E316" s="22"/>
      <x:c r="F316" s="22"/>
      <x:c r="G316" s="22"/>
      <x:c r="H316" s="22"/>
      <x:c r="I316" s="22"/>
      <x:c r="J316" s="22"/>
      <x:c r="K316" s="22"/>
      <x:c r="L316" s="22"/>
      <x:c r="M316" s="22"/>
      <x:c r="N316" s="26"/>
      <x:c r="O316" s="22"/>
      <x:c r="P316" s="22" t="str">
        <x:f>IF(OR(B316="",J316="Закрыт"),"",TODAY()-B316)</x:f>
      </x:c>
    </x:row>
    <x:row r="317">
      <x:c r="A317" s="22" t="str">
        <x:f>IF(D317="","","SIG-"&amp;TEXT(ROW()-2,"0000"))</x:f>
      </x:c>
      <x:c r="B317" s="26"/>
      <x:c r="C317" s="22"/>
      <x:c r="D317" s="22"/>
      <x:c r="E317" s="22"/>
      <x:c r="F317" s="22"/>
      <x:c r="G317" s="22"/>
      <x:c r="H317" s="22"/>
      <x:c r="I317" s="22"/>
      <x:c r="J317" s="22"/>
      <x:c r="K317" s="22"/>
      <x:c r="L317" s="22"/>
      <x:c r="M317" s="22"/>
      <x:c r="N317" s="26"/>
      <x:c r="O317" s="22"/>
      <x:c r="P317" s="22" t="str">
        <x:f>IF(OR(B317="",J317="Закрыт"),"",TODAY()-B317)</x:f>
      </x:c>
    </x:row>
    <x:row r="318">
      <x:c r="A318" s="22" t="str">
        <x:f>IF(D318="","","SIG-"&amp;TEXT(ROW()-2,"0000"))</x:f>
      </x:c>
      <x:c r="B318" s="26"/>
      <x:c r="C318" s="22"/>
      <x:c r="D318" s="22"/>
      <x:c r="E318" s="22"/>
      <x:c r="F318" s="22"/>
      <x:c r="G318" s="22"/>
      <x:c r="H318" s="22"/>
      <x:c r="I318" s="22"/>
      <x:c r="J318" s="22"/>
      <x:c r="K318" s="22"/>
      <x:c r="L318" s="22"/>
      <x:c r="M318" s="22"/>
      <x:c r="N318" s="26"/>
      <x:c r="O318" s="22"/>
      <x:c r="P318" s="22" t="str">
        <x:f>IF(OR(B318="",J318="Закрыт"),"",TODAY()-B318)</x:f>
      </x:c>
    </x:row>
    <x:row r="319">
      <x:c r="A319" s="22" t="str">
        <x:f>IF(D319="","","SIG-"&amp;TEXT(ROW()-2,"0000"))</x:f>
      </x:c>
      <x:c r="B319" s="26"/>
      <x:c r="C319" s="22"/>
      <x:c r="D319" s="22"/>
      <x:c r="E319" s="22"/>
      <x:c r="F319" s="22"/>
      <x:c r="G319" s="22"/>
      <x:c r="H319" s="22"/>
      <x:c r="I319" s="22"/>
      <x:c r="J319" s="22"/>
      <x:c r="K319" s="22"/>
      <x:c r="L319" s="22"/>
      <x:c r="M319" s="22"/>
      <x:c r="N319" s="26"/>
      <x:c r="O319" s="22"/>
      <x:c r="P319" s="22" t="str">
        <x:f>IF(OR(B319="",J319="Закрыт"),"",TODAY()-B319)</x:f>
      </x:c>
    </x:row>
    <x:row r="320">
      <x:c r="A320" s="22" t="str">
        <x:f>IF(D320="","","SIG-"&amp;TEXT(ROW()-2,"0000"))</x:f>
      </x:c>
      <x:c r="B320" s="26"/>
      <x:c r="C320" s="22"/>
      <x:c r="D320" s="22"/>
      <x:c r="E320" s="22"/>
      <x:c r="F320" s="22"/>
      <x:c r="G320" s="22"/>
      <x:c r="H320" s="22"/>
      <x:c r="I320" s="22"/>
      <x:c r="J320" s="22"/>
      <x:c r="K320" s="22"/>
      <x:c r="L320" s="22"/>
      <x:c r="M320" s="22"/>
      <x:c r="N320" s="26"/>
      <x:c r="O320" s="22"/>
      <x:c r="P320" s="22" t="str">
        <x:f>IF(OR(B320="",J320="Закрыт"),"",TODAY()-B320)</x:f>
      </x:c>
    </x:row>
    <x:row r="321">
      <x:c r="A321" s="22" t="str">
        <x:f>IF(D321="","","SIG-"&amp;TEXT(ROW()-2,"0000"))</x:f>
      </x:c>
      <x:c r="B321" s="26"/>
      <x:c r="C321" s="22"/>
      <x:c r="D321" s="22"/>
      <x:c r="E321" s="22"/>
      <x:c r="F321" s="22"/>
      <x:c r="G321" s="22"/>
      <x:c r="H321" s="22"/>
      <x:c r="I321" s="22"/>
      <x:c r="J321" s="22"/>
      <x:c r="K321" s="22"/>
      <x:c r="L321" s="22"/>
      <x:c r="M321" s="22"/>
      <x:c r="N321" s="26"/>
      <x:c r="O321" s="22"/>
      <x:c r="P321" s="22" t="str">
        <x:f>IF(OR(B321="",J321="Закрыт"),"",TODAY()-B321)</x:f>
      </x:c>
    </x:row>
    <x:row r="322">
      <x:c r="A322" s="22" t="str">
        <x:f>IF(D322="","","SIG-"&amp;TEXT(ROW()-2,"0000"))</x:f>
      </x:c>
      <x:c r="B322" s="26"/>
      <x:c r="C322" s="22"/>
      <x:c r="D322" s="22"/>
      <x:c r="E322" s="22"/>
      <x:c r="F322" s="22"/>
      <x:c r="G322" s="22"/>
      <x:c r="H322" s="22"/>
      <x:c r="I322" s="22"/>
      <x:c r="J322" s="22"/>
      <x:c r="K322" s="22"/>
      <x:c r="L322" s="22"/>
      <x:c r="M322" s="22"/>
      <x:c r="N322" s="26"/>
      <x:c r="O322" s="22"/>
      <x:c r="P322" s="22" t="str">
        <x:f>IF(OR(B322="",J322="Закрыт"),"",TODAY()-B322)</x:f>
      </x:c>
    </x:row>
    <x:row r="323">
      <x:c r="A323" s="22" t="str">
        <x:f>IF(D323="","","SIG-"&amp;TEXT(ROW()-2,"0000"))</x:f>
      </x:c>
      <x:c r="B323" s="26"/>
      <x:c r="C323" s="22"/>
      <x:c r="D323" s="22"/>
      <x:c r="E323" s="22"/>
      <x:c r="F323" s="22"/>
      <x:c r="G323" s="22"/>
      <x:c r="H323" s="22"/>
      <x:c r="I323" s="22"/>
      <x:c r="J323" s="22"/>
      <x:c r="K323" s="22"/>
      <x:c r="L323" s="22"/>
      <x:c r="M323" s="22"/>
      <x:c r="N323" s="26"/>
      <x:c r="O323" s="22"/>
      <x:c r="P323" s="22" t="str">
        <x:f>IF(OR(B323="",J323="Закрыт"),"",TODAY()-B323)</x:f>
      </x:c>
    </x:row>
    <x:row r="324">
      <x:c r="A324" s="22" t="str">
        <x:f>IF(D324="","","SIG-"&amp;TEXT(ROW()-2,"0000"))</x:f>
      </x:c>
      <x:c r="B324" s="26"/>
      <x:c r="C324" s="22"/>
      <x:c r="D324" s="22"/>
      <x:c r="E324" s="22"/>
      <x:c r="F324" s="22"/>
      <x:c r="G324" s="22"/>
      <x:c r="H324" s="22"/>
      <x:c r="I324" s="22"/>
      <x:c r="J324" s="22"/>
      <x:c r="K324" s="22"/>
      <x:c r="L324" s="22"/>
      <x:c r="M324" s="22"/>
      <x:c r="N324" s="26"/>
      <x:c r="O324" s="22"/>
      <x:c r="P324" s="22" t="str">
        <x:f>IF(OR(B324="",J324="Закрыт"),"",TODAY()-B324)</x:f>
      </x:c>
    </x:row>
    <x:row r="325">
      <x:c r="A325" s="22" t="str">
        <x:f>IF(D325="","","SIG-"&amp;TEXT(ROW()-2,"0000"))</x:f>
      </x:c>
      <x:c r="B325" s="26"/>
      <x:c r="C325" s="22"/>
      <x:c r="D325" s="22"/>
      <x:c r="E325" s="22"/>
      <x:c r="F325" s="22"/>
      <x:c r="G325" s="22"/>
      <x:c r="H325" s="22"/>
      <x:c r="I325" s="22"/>
      <x:c r="J325" s="22"/>
      <x:c r="K325" s="22"/>
      <x:c r="L325" s="22"/>
      <x:c r="M325" s="22"/>
      <x:c r="N325" s="26"/>
      <x:c r="O325" s="22"/>
      <x:c r="P325" s="22" t="str">
        <x:f>IF(OR(B325="",J325="Закрыт"),"",TODAY()-B325)</x:f>
      </x:c>
    </x:row>
    <x:row r="326">
      <x:c r="A326" s="22" t="str">
        <x:f>IF(D326="","","SIG-"&amp;TEXT(ROW()-2,"0000"))</x:f>
      </x:c>
      <x:c r="B326" s="26"/>
      <x:c r="C326" s="22"/>
      <x:c r="D326" s="22"/>
      <x:c r="E326" s="22"/>
      <x:c r="F326" s="22"/>
      <x:c r="G326" s="22"/>
      <x:c r="H326" s="22"/>
      <x:c r="I326" s="22"/>
      <x:c r="J326" s="22"/>
      <x:c r="K326" s="22"/>
      <x:c r="L326" s="22"/>
      <x:c r="M326" s="22"/>
      <x:c r="N326" s="26"/>
      <x:c r="O326" s="22"/>
      <x:c r="P326" s="22" t="str">
        <x:f>IF(OR(B326="",J326="Закрыт"),"",TODAY()-B326)</x:f>
      </x:c>
    </x:row>
    <x:row r="327">
      <x:c r="A327" s="22" t="str">
        <x:f>IF(D327="","","SIG-"&amp;TEXT(ROW()-2,"0000"))</x:f>
      </x:c>
      <x:c r="B327" s="26"/>
      <x:c r="C327" s="22"/>
      <x:c r="D327" s="22"/>
      <x:c r="E327" s="22"/>
      <x:c r="F327" s="22"/>
      <x:c r="G327" s="22"/>
      <x:c r="H327" s="22"/>
      <x:c r="I327" s="22"/>
      <x:c r="J327" s="22"/>
      <x:c r="K327" s="22"/>
      <x:c r="L327" s="22"/>
      <x:c r="M327" s="22"/>
      <x:c r="N327" s="26"/>
      <x:c r="O327" s="22"/>
      <x:c r="P327" s="22" t="str">
        <x:f>IF(OR(B327="",J327="Закрыт"),"",TODAY()-B327)</x:f>
      </x:c>
    </x:row>
    <x:row r="328">
      <x:c r="A328" s="22" t="str">
        <x:f>IF(D328="","","SIG-"&amp;TEXT(ROW()-2,"0000"))</x:f>
      </x:c>
      <x:c r="B328" s="26"/>
      <x:c r="C328" s="22"/>
      <x:c r="D328" s="22"/>
      <x:c r="E328" s="22"/>
      <x:c r="F328" s="22"/>
      <x:c r="G328" s="22"/>
      <x:c r="H328" s="22"/>
      <x:c r="I328" s="22"/>
      <x:c r="J328" s="22"/>
      <x:c r="K328" s="22"/>
      <x:c r="L328" s="22"/>
      <x:c r="M328" s="22"/>
      <x:c r="N328" s="26"/>
      <x:c r="O328" s="22"/>
      <x:c r="P328" s="22" t="str">
        <x:f>IF(OR(B328="",J328="Закрыт"),"",TODAY()-B328)</x:f>
      </x:c>
    </x:row>
    <x:row r="329">
      <x:c r="A329" s="22" t="str">
        <x:f>IF(D329="","","SIG-"&amp;TEXT(ROW()-2,"0000"))</x:f>
      </x:c>
      <x:c r="B329" s="26"/>
      <x:c r="C329" s="22"/>
      <x:c r="D329" s="22"/>
      <x:c r="E329" s="22"/>
      <x:c r="F329" s="22"/>
      <x:c r="G329" s="22"/>
      <x:c r="H329" s="22"/>
      <x:c r="I329" s="22"/>
      <x:c r="J329" s="22"/>
      <x:c r="K329" s="22"/>
      <x:c r="L329" s="22"/>
      <x:c r="M329" s="22"/>
      <x:c r="N329" s="26"/>
      <x:c r="O329" s="22"/>
      <x:c r="P329" s="22" t="str">
        <x:f>IF(OR(B329="",J329="Закрыт"),"",TODAY()-B329)</x:f>
      </x:c>
    </x:row>
    <x:row r="330">
      <x:c r="A330" s="22" t="str">
        <x:f>IF(D330="","","SIG-"&amp;TEXT(ROW()-2,"0000"))</x:f>
      </x:c>
      <x:c r="B330" s="26"/>
      <x:c r="C330" s="22"/>
      <x:c r="D330" s="22"/>
      <x:c r="E330" s="22"/>
      <x:c r="F330" s="22"/>
      <x:c r="G330" s="22"/>
      <x:c r="H330" s="22"/>
      <x:c r="I330" s="22"/>
      <x:c r="J330" s="22"/>
      <x:c r="K330" s="22"/>
      <x:c r="L330" s="22"/>
      <x:c r="M330" s="22"/>
      <x:c r="N330" s="26"/>
      <x:c r="O330" s="22"/>
      <x:c r="P330" s="22" t="str">
        <x:f>IF(OR(B330="",J330="Закрыт"),"",TODAY()-B330)</x:f>
      </x:c>
    </x:row>
    <x:row r="331">
      <x:c r="A331" s="22" t="str">
        <x:f>IF(D331="","","SIG-"&amp;TEXT(ROW()-2,"0000"))</x:f>
      </x:c>
      <x:c r="B331" s="26"/>
      <x:c r="C331" s="22"/>
      <x:c r="D331" s="22"/>
      <x:c r="E331" s="22"/>
      <x:c r="F331" s="22"/>
      <x:c r="G331" s="22"/>
      <x:c r="H331" s="22"/>
      <x:c r="I331" s="22"/>
      <x:c r="J331" s="22"/>
      <x:c r="K331" s="22"/>
      <x:c r="L331" s="22"/>
      <x:c r="M331" s="22"/>
      <x:c r="N331" s="26"/>
      <x:c r="O331" s="22"/>
      <x:c r="P331" s="22" t="str">
        <x:f>IF(OR(B331="",J331="Закрыт"),"",TODAY()-B331)</x:f>
      </x:c>
    </x:row>
    <x:row r="332">
      <x:c r="A332" s="22" t="str">
        <x:f>IF(D332="","","SIG-"&amp;TEXT(ROW()-2,"0000"))</x:f>
      </x:c>
      <x:c r="B332" s="26"/>
      <x:c r="C332" s="22"/>
      <x:c r="D332" s="22"/>
      <x:c r="E332" s="22"/>
      <x:c r="F332" s="22"/>
      <x:c r="G332" s="22"/>
      <x:c r="H332" s="22"/>
      <x:c r="I332" s="22"/>
      <x:c r="J332" s="22"/>
      <x:c r="K332" s="22"/>
      <x:c r="L332" s="22"/>
      <x:c r="M332" s="22"/>
      <x:c r="N332" s="26"/>
      <x:c r="O332" s="22"/>
      <x:c r="P332" s="22" t="str">
        <x:f>IF(OR(B332="",J332="Закрыт"),"",TODAY()-B332)</x:f>
      </x:c>
    </x:row>
    <x:row r="333">
      <x:c r="A333" s="22" t="str">
        <x:f>IF(D333="","","SIG-"&amp;TEXT(ROW()-2,"0000"))</x:f>
      </x:c>
      <x:c r="B333" s="26"/>
      <x:c r="C333" s="22"/>
      <x:c r="D333" s="22"/>
      <x:c r="E333" s="22"/>
      <x:c r="F333" s="22"/>
      <x:c r="G333" s="22"/>
      <x:c r="H333" s="22"/>
      <x:c r="I333" s="22"/>
      <x:c r="J333" s="22"/>
      <x:c r="K333" s="22"/>
      <x:c r="L333" s="22"/>
      <x:c r="M333" s="22"/>
      <x:c r="N333" s="26"/>
      <x:c r="O333" s="22"/>
      <x:c r="P333" s="22" t="str">
        <x:f>IF(OR(B333="",J333="Закрыт"),"",TODAY()-B333)</x:f>
      </x:c>
    </x:row>
    <x:row r="334">
      <x:c r="A334" s="22" t="str">
        <x:f>IF(D334="","","SIG-"&amp;TEXT(ROW()-2,"0000"))</x:f>
      </x:c>
      <x:c r="B334" s="26"/>
      <x:c r="C334" s="22"/>
      <x:c r="D334" s="22"/>
      <x:c r="E334" s="22"/>
      <x:c r="F334" s="22"/>
      <x:c r="G334" s="22"/>
      <x:c r="H334" s="22"/>
      <x:c r="I334" s="22"/>
      <x:c r="J334" s="22"/>
      <x:c r="K334" s="22"/>
      <x:c r="L334" s="22"/>
      <x:c r="M334" s="22"/>
      <x:c r="N334" s="26"/>
      <x:c r="O334" s="22"/>
      <x:c r="P334" s="22" t="str">
        <x:f>IF(OR(B334="",J334="Закрыт"),"",TODAY()-B334)</x:f>
      </x:c>
    </x:row>
    <x:row r="335">
      <x:c r="A335" s="22" t="str">
        <x:f>IF(D335="","","SIG-"&amp;TEXT(ROW()-2,"0000"))</x:f>
      </x:c>
      <x:c r="B335" s="26"/>
      <x:c r="C335" s="22"/>
      <x:c r="D335" s="22"/>
      <x:c r="E335" s="22"/>
      <x:c r="F335" s="22"/>
      <x:c r="G335" s="22"/>
      <x:c r="H335" s="22"/>
      <x:c r="I335" s="22"/>
      <x:c r="J335" s="22"/>
      <x:c r="K335" s="22"/>
      <x:c r="L335" s="22"/>
      <x:c r="M335" s="22"/>
      <x:c r="N335" s="26"/>
      <x:c r="O335" s="22"/>
      <x:c r="P335" s="22" t="str">
        <x:f>IF(OR(B335="",J335="Закрыт"),"",TODAY()-B335)</x:f>
      </x:c>
    </x:row>
    <x:row r="336">
      <x:c r="A336" s="22" t="str">
        <x:f>IF(D336="","","SIG-"&amp;TEXT(ROW()-2,"0000"))</x:f>
      </x:c>
      <x:c r="B336" s="26"/>
      <x:c r="C336" s="22"/>
      <x:c r="D336" s="22"/>
      <x:c r="E336" s="22"/>
      <x:c r="F336" s="22"/>
      <x:c r="G336" s="22"/>
      <x:c r="H336" s="22"/>
      <x:c r="I336" s="22"/>
      <x:c r="J336" s="22"/>
      <x:c r="K336" s="22"/>
      <x:c r="L336" s="22"/>
      <x:c r="M336" s="22"/>
      <x:c r="N336" s="26"/>
      <x:c r="O336" s="22"/>
      <x:c r="P336" s="22" t="str">
        <x:f>IF(OR(B336="",J336="Закрыт"),"",TODAY()-B336)</x:f>
      </x:c>
    </x:row>
    <x:row r="337">
      <x:c r="A337" s="22" t="str">
        <x:f>IF(D337="","","SIG-"&amp;TEXT(ROW()-2,"0000"))</x:f>
      </x:c>
      <x:c r="B337" s="26"/>
      <x:c r="C337" s="22"/>
      <x:c r="D337" s="22"/>
      <x:c r="E337" s="22"/>
      <x:c r="F337" s="22"/>
      <x:c r="G337" s="22"/>
      <x:c r="H337" s="22"/>
      <x:c r="I337" s="22"/>
      <x:c r="J337" s="22"/>
      <x:c r="K337" s="22"/>
      <x:c r="L337" s="22"/>
      <x:c r="M337" s="22"/>
      <x:c r="N337" s="26"/>
      <x:c r="O337" s="22"/>
      <x:c r="P337" s="22" t="str">
        <x:f>IF(OR(B337="",J337="Закрыт"),"",TODAY()-B337)</x:f>
      </x:c>
    </x:row>
    <x:row r="338">
      <x:c r="A338" s="22" t="str">
        <x:f>IF(D338="","","SIG-"&amp;TEXT(ROW()-2,"0000"))</x:f>
      </x:c>
      <x:c r="B338" s="26"/>
      <x:c r="C338" s="22"/>
      <x:c r="D338" s="22"/>
      <x:c r="E338" s="22"/>
      <x:c r="F338" s="22"/>
      <x:c r="G338" s="22"/>
      <x:c r="H338" s="22"/>
      <x:c r="I338" s="22"/>
      <x:c r="J338" s="22"/>
      <x:c r="K338" s="22"/>
      <x:c r="L338" s="22"/>
      <x:c r="M338" s="22"/>
      <x:c r="N338" s="26"/>
      <x:c r="O338" s="22"/>
      <x:c r="P338" s="22" t="str">
        <x:f>IF(OR(B338="",J338="Закрыт"),"",TODAY()-B338)</x:f>
      </x:c>
    </x:row>
    <x:row r="339">
      <x:c r="A339" s="22" t="str">
        <x:f>IF(D339="","","SIG-"&amp;TEXT(ROW()-2,"0000"))</x:f>
      </x:c>
      <x:c r="B339" s="26"/>
      <x:c r="C339" s="22"/>
      <x:c r="D339" s="22"/>
      <x:c r="E339" s="22"/>
      <x:c r="F339" s="22"/>
      <x:c r="G339" s="22"/>
      <x:c r="H339" s="22"/>
      <x:c r="I339" s="22"/>
      <x:c r="J339" s="22"/>
      <x:c r="K339" s="22"/>
      <x:c r="L339" s="22"/>
      <x:c r="M339" s="22"/>
      <x:c r="N339" s="26"/>
      <x:c r="O339" s="22"/>
      <x:c r="P339" s="22" t="str">
        <x:f>IF(OR(B339="",J339="Закрыт"),"",TODAY()-B339)</x:f>
      </x:c>
    </x:row>
    <x:row r="340">
      <x:c r="A340" s="22" t="str">
        <x:f>IF(D340="","","SIG-"&amp;TEXT(ROW()-2,"0000"))</x:f>
      </x:c>
      <x:c r="B340" s="26"/>
      <x:c r="C340" s="22"/>
      <x:c r="D340" s="22"/>
      <x:c r="E340" s="22"/>
      <x:c r="F340" s="22"/>
      <x:c r="G340" s="22"/>
      <x:c r="H340" s="22"/>
      <x:c r="I340" s="22"/>
      <x:c r="J340" s="22"/>
      <x:c r="K340" s="22"/>
      <x:c r="L340" s="22"/>
      <x:c r="M340" s="22"/>
      <x:c r="N340" s="26"/>
      <x:c r="O340" s="22"/>
      <x:c r="P340" s="22" t="str">
        <x:f>IF(OR(B340="",J340="Закрыт"),"",TODAY()-B340)</x:f>
      </x:c>
    </x:row>
    <x:row r="341">
      <x:c r="A341" s="22" t="str">
        <x:f>IF(D341="","","SIG-"&amp;TEXT(ROW()-2,"0000"))</x:f>
      </x:c>
      <x:c r="B341" s="26"/>
      <x:c r="C341" s="22"/>
      <x:c r="D341" s="22"/>
      <x:c r="E341" s="22"/>
      <x:c r="F341" s="22"/>
      <x:c r="G341" s="22"/>
      <x:c r="H341" s="22"/>
      <x:c r="I341" s="22"/>
      <x:c r="J341" s="22"/>
      <x:c r="K341" s="22"/>
      <x:c r="L341" s="22"/>
      <x:c r="M341" s="22"/>
      <x:c r="N341" s="26"/>
      <x:c r="O341" s="22"/>
      <x:c r="P341" s="22" t="str">
        <x:f>IF(OR(B341="",J341="Закрыт"),"",TODAY()-B341)</x:f>
      </x:c>
    </x:row>
    <x:row r="342">
      <x:c r="A342" s="22" t="str">
        <x:f>IF(D342="","","SIG-"&amp;TEXT(ROW()-2,"0000"))</x:f>
      </x:c>
      <x:c r="B342" s="26"/>
      <x:c r="C342" s="22"/>
      <x:c r="D342" s="22"/>
      <x:c r="E342" s="22"/>
      <x:c r="F342" s="22"/>
      <x:c r="G342" s="22"/>
      <x:c r="H342" s="22"/>
      <x:c r="I342" s="22"/>
      <x:c r="J342" s="22"/>
      <x:c r="K342" s="22"/>
      <x:c r="L342" s="22"/>
      <x:c r="M342" s="22"/>
      <x:c r="N342" s="26"/>
      <x:c r="O342" s="22"/>
      <x:c r="P342" s="22" t="str">
        <x:f>IF(OR(B342="",J342="Закрыт"),"",TODAY()-B342)</x:f>
      </x:c>
    </x:row>
    <x:row r="343">
      <x:c r="A343" s="22" t="str">
        <x:f>IF(D343="","","SIG-"&amp;TEXT(ROW()-2,"0000"))</x:f>
      </x:c>
      <x:c r="B343" s="26"/>
      <x:c r="C343" s="22"/>
      <x:c r="D343" s="22"/>
      <x:c r="E343" s="22"/>
      <x:c r="F343" s="22"/>
      <x:c r="G343" s="22"/>
      <x:c r="H343" s="22"/>
      <x:c r="I343" s="22"/>
      <x:c r="J343" s="22"/>
      <x:c r="K343" s="22"/>
      <x:c r="L343" s="22"/>
      <x:c r="M343" s="22"/>
      <x:c r="N343" s="26"/>
      <x:c r="O343" s="22"/>
      <x:c r="P343" s="22" t="str">
        <x:f>IF(OR(B343="",J343="Закрыт"),"",TODAY()-B343)</x:f>
      </x:c>
    </x:row>
    <x:row r="344">
      <x:c r="A344" s="22" t="str">
        <x:f>IF(D344="","","SIG-"&amp;TEXT(ROW()-2,"0000"))</x:f>
      </x:c>
      <x:c r="B344" s="26"/>
      <x:c r="C344" s="22"/>
      <x:c r="D344" s="22"/>
      <x:c r="E344" s="22"/>
      <x:c r="F344" s="22"/>
      <x:c r="G344" s="22"/>
      <x:c r="H344" s="22"/>
      <x:c r="I344" s="22"/>
      <x:c r="J344" s="22"/>
      <x:c r="K344" s="22"/>
      <x:c r="L344" s="22"/>
      <x:c r="M344" s="22"/>
      <x:c r="N344" s="26"/>
      <x:c r="O344" s="22"/>
      <x:c r="P344" s="22" t="str">
        <x:f>IF(OR(B344="",J344="Закрыт"),"",TODAY()-B344)</x:f>
      </x:c>
    </x:row>
    <x:row r="345">
      <x:c r="A345" s="22" t="str">
        <x:f>IF(D345="","","SIG-"&amp;TEXT(ROW()-2,"0000"))</x:f>
      </x:c>
      <x:c r="B345" s="26"/>
      <x:c r="C345" s="22"/>
      <x:c r="D345" s="22"/>
      <x:c r="E345" s="22"/>
      <x:c r="F345" s="22"/>
      <x:c r="G345" s="22"/>
      <x:c r="H345" s="22"/>
      <x:c r="I345" s="22"/>
      <x:c r="J345" s="22"/>
      <x:c r="K345" s="22"/>
      <x:c r="L345" s="22"/>
      <x:c r="M345" s="22"/>
      <x:c r="N345" s="26"/>
      <x:c r="O345" s="22"/>
      <x:c r="P345" s="22" t="str">
        <x:f>IF(OR(B345="",J345="Закрыт"),"",TODAY()-B345)</x:f>
      </x:c>
    </x:row>
    <x:row r="346">
      <x:c r="A346" s="22" t="str">
        <x:f>IF(D346="","","SIG-"&amp;TEXT(ROW()-2,"0000"))</x:f>
      </x:c>
      <x:c r="B346" s="26"/>
      <x:c r="C346" s="22"/>
      <x:c r="D346" s="22"/>
      <x:c r="E346" s="22"/>
      <x:c r="F346" s="22"/>
      <x:c r="G346" s="22"/>
      <x:c r="H346" s="22"/>
      <x:c r="I346" s="22"/>
      <x:c r="J346" s="22"/>
      <x:c r="K346" s="22"/>
      <x:c r="L346" s="22"/>
      <x:c r="M346" s="22"/>
      <x:c r="N346" s="26"/>
      <x:c r="O346" s="22"/>
      <x:c r="P346" s="22" t="str">
        <x:f>IF(OR(B346="",J346="Закрыт"),"",TODAY()-B346)</x:f>
      </x:c>
    </x:row>
    <x:row r="347">
      <x:c r="A347" s="22" t="str">
        <x:f>IF(D347="","","SIG-"&amp;TEXT(ROW()-2,"0000"))</x:f>
      </x:c>
      <x:c r="B347" s="26"/>
      <x:c r="C347" s="22"/>
      <x:c r="D347" s="22"/>
      <x:c r="E347" s="22"/>
      <x:c r="F347" s="22"/>
      <x:c r="G347" s="22"/>
      <x:c r="H347" s="22"/>
      <x:c r="I347" s="22"/>
      <x:c r="J347" s="22"/>
      <x:c r="K347" s="22"/>
      <x:c r="L347" s="22"/>
      <x:c r="M347" s="22"/>
      <x:c r="N347" s="26"/>
      <x:c r="O347" s="22"/>
      <x:c r="P347" s="22" t="str">
        <x:f>IF(OR(B347="",J347="Закрыт"),"",TODAY()-B347)</x:f>
      </x:c>
    </x:row>
    <x:row r="348">
      <x:c r="A348" s="22" t="str">
        <x:f>IF(D348="","","SIG-"&amp;TEXT(ROW()-2,"0000"))</x:f>
      </x:c>
      <x:c r="B348" s="26"/>
      <x:c r="C348" s="22"/>
      <x:c r="D348" s="22"/>
      <x:c r="E348" s="22"/>
      <x:c r="F348" s="22"/>
      <x:c r="G348" s="22"/>
      <x:c r="H348" s="22"/>
      <x:c r="I348" s="22"/>
      <x:c r="J348" s="22"/>
      <x:c r="K348" s="22"/>
      <x:c r="L348" s="22"/>
      <x:c r="M348" s="22"/>
      <x:c r="N348" s="26"/>
      <x:c r="O348" s="22"/>
      <x:c r="P348" s="22" t="str">
        <x:f>IF(OR(B348="",J348="Закрыт"),"",TODAY()-B348)</x:f>
      </x:c>
    </x:row>
    <x:row r="349">
      <x:c r="A349" s="22" t="str">
        <x:f>IF(D349="","","SIG-"&amp;TEXT(ROW()-2,"0000"))</x:f>
      </x:c>
      <x:c r="B349" s="26"/>
      <x:c r="C349" s="22"/>
      <x:c r="D349" s="22"/>
      <x:c r="E349" s="22"/>
      <x:c r="F349" s="22"/>
      <x:c r="G349" s="22"/>
      <x:c r="H349" s="22"/>
      <x:c r="I349" s="22"/>
      <x:c r="J349" s="22"/>
      <x:c r="K349" s="22"/>
      <x:c r="L349" s="22"/>
      <x:c r="M349" s="22"/>
      <x:c r="N349" s="26"/>
      <x:c r="O349" s="22"/>
      <x:c r="P349" s="22" t="str">
        <x:f>IF(OR(B349="",J349="Закрыт"),"",TODAY()-B349)</x:f>
      </x:c>
    </x:row>
    <x:row r="350">
      <x:c r="A350" s="22" t="str">
        <x:f>IF(D350="","","SIG-"&amp;TEXT(ROW()-2,"0000"))</x:f>
      </x:c>
      <x:c r="B350" s="26"/>
      <x:c r="C350" s="22"/>
      <x:c r="D350" s="22"/>
      <x:c r="E350" s="22"/>
      <x:c r="F350" s="22"/>
      <x:c r="G350" s="22"/>
      <x:c r="H350" s="22"/>
      <x:c r="I350" s="22"/>
      <x:c r="J350" s="22"/>
      <x:c r="K350" s="22"/>
      <x:c r="L350" s="22"/>
      <x:c r="M350" s="22"/>
      <x:c r="N350" s="26"/>
      <x:c r="O350" s="22"/>
      <x:c r="P350" s="22" t="str">
        <x:f>IF(OR(B350="",J350="Закрыт"),"",TODAY()-B350)</x:f>
      </x:c>
    </x:row>
    <x:row r="351">
      <x:c r="A351" s="22" t="str">
        <x:f>IF(D351="","","SIG-"&amp;TEXT(ROW()-2,"0000"))</x:f>
      </x:c>
      <x:c r="B351" s="26"/>
      <x:c r="C351" s="22"/>
      <x:c r="D351" s="22"/>
      <x:c r="E351" s="22"/>
      <x:c r="F351" s="22"/>
      <x:c r="G351" s="22"/>
      <x:c r="H351" s="22"/>
      <x:c r="I351" s="22"/>
      <x:c r="J351" s="22"/>
      <x:c r="K351" s="22"/>
      <x:c r="L351" s="22"/>
      <x:c r="M351" s="22"/>
      <x:c r="N351" s="26"/>
      <x:c r="O351" s="22"/>
      <x:c r="P351" s="22" t="str">
        <x:f>IF(OR(B351="",J351="Закрыт"),"",TODAY()-B351)</x:f>
      </x:c>
    </x:row>
    <x:row r="352">
      <x:c r="A352" s="22" t="str">
        <x:f>IF(D352="","","SIG-"&amp;TEXT(ROW()-2,"0000"))</x:f>
      </x:c>
      <x:c r="B352" s="26"/>
      <x:c r="C352" s="22"/>
      <x:c r="D352" s="22"/>
      <x:c r="E352" s="22"/>
      <x:c r="F352" s="22"/>
      <x:c r="G352" s="22"/>
      <x:c r="H352" s="22"/>
      <x:c r="I352" s="22"/>
      <x:c r="J352" s="22"/>
      <x:c r="K352" s="22"/>
      <x:c r="L352" s="22"/>
      <x:c r="M352" s="22"/>
      <x:c r="N352" s="26"/>
      <x:c r="O352" s="22"/>
      <x:c r="P352" s="22" t="str">
        <x:f>IF(OR(B352="",J352="Закрыт"),"",TODAY()-B352)</x:f>
      </x:c>
    </x:row>
    <x:row r="353">
      <x:c r="A353" s="22" t="str">
        <x:f>IF(D353="","","SIG-"&amp;TEXT(ROW()-2,"0000"))</x:f>
      </x:c>
      <x:c r="B353" s="26"/>
      <x:c r="C353" s="22"/>
      <x:c r="D353" s="22"/>
      <x:c r="E353" s="22"/>
      <x:c r="F353" s="22"/>
      <x:c r="G353" s="22"/>
      <x:c r="H353" s="22"/>
      <x:c r="I353" s="22"/>
      <x:c r="J353" s="22"/>
      <x:c r="K353" s="22"/>
      <x:c r="L353" s="22"/>
      <x:c r="M353" s="22"/>
      <x:c r="N353" s="26"/>
      <x:c r="O353" s="22"/>
      <x:c r="P353" s="22" t="str">
        <x:f>IF(OR(B353="",J353="Закрыт"),"",TODAY()-B353)</x:f>
      </x:c>
    </x:row>
    <x:row r="354">
      <x:c r="A354" s="22" t="str">
        <x:f>IF(D354="","","SIG-"&amp;TEXT(ROW()-2,"0000"))</x:f>
      </x:c>
      <x:c r="B354" s="26"/>
      <x:c r="C354" s="22"/>
      <x:c r="D354" s="22"/>
      <x:c r="E354" s="22"/>
      <x:c r="F354" s="22"/>
      <x:c r="G354" s="22"/>
      <x:c r="H354" s="22"/>
      <x:c r="I354" s="22"/>
      <x:c r="J354" s="22"/>
      <x:c r="K354" s="22"/>
      <x:c r="L354" s="22"/>
      <x:c r="M354" s="22"/>
      <x:c r="N354" s="26"/>
      <x:c r="O354" s="22"/>
      <x:c r="P354" s="22" t="str">
        <x:f>IF(OR(B354="",J354="Закрыт"),"",TODAY()-B354)</x:f>
      </x:c>
    </x:row>
    <x:row r="355">
      <x:c r="A355" s="22" t="str">
        <x:f>IF(D355="","","SIG-"&amp;TEXT(ROW()-2,"0000"))</x:f>
      </x:c>
      <x:c r="B355" s="26"/>
      <x:c r="C355" s="22"/>
      <x:c r="D355" s="22"/>
      <x:c r="E355" s="22"/>
      <x:c r="F355" s="22"/>
      <x:c r="G355" s="22"/>
      <x:c r="H355" s="22"/>
      <x:c r="I355" s="22"/>
      <x:c r="J355" s="22"/>
      <x:c r="K355" s="22"/>
      <x:c r="L355" s="22"/>
      <x:c r="M355" s="22"/>
      <x:c r="N355" s="26"/>
      <x:c r="O355" s="22"/>
      <x:c r="P355" s="22" t="str">
        <x:f>IF(OR(B355="",J355="Закрыт"),"",TODAY()-B355)</x:f>
      </x:c>
    </x:row>
    <x:row r="356">
      <x:c r="A356" s="22" t="str">
        <x:f>IF(D356="","","SIG-"&amp;TEXT(ROW()-2,"0000"))</x:f>
      </x:c>
      <x:c r="B356" s="26"/>
      <x:c r="C356" s="22"/>
      <x:c r="D356" s="22"/>
      <x:c r="E356" s="22"/>
      <x:c r="F356" s="22"/>
      <x:c r="G356" s="22"/>
      <x:c r="H356" s="22"/>
      <x:c r="I356" s="22"/>
      <x:c r="J356" s="22"/>
      <x:c r="K356" s="22"/>
      <x:c r="L356" s="22"/>
      <x:c r="M356" s="22"/>
      <x:c r="N356" s="26"/>
      <x:c r="O356" s="22"/>
      <x:c r="P356" s="22" t="str">
        <x:f>IF(OR(B356="",J356="Закрыт"),"",TODAY()-B356)</x:f>
      </x:c>
    </x:row>
    <x:row r="357">
      <x:c r="A357" s="22" t="str">
        <x:f>IF(D357="","","SIG-"&amp;TEXT(ROW()-2,"0000"))</x:f>
      </x:c>
      <x:c r="B357" s="26"/>
      <x:c r="C357" s="22"/>
      <x:c r="D357" s="22"/>
      <x:c r="E357" s="22"/>
      <x:c r="F357" s="22"/>
      <x:c r="G357" s="22"/>
      <x:c r="H357" s="22"/>
      <x:c r="I357" s="22"/>
      <x:c r="J357" s="22"/>
      <x:c r="K357" s="22"/>
      <x:c r="L357" s="22"/>
      <x:c r="M357" s="22"/>
      <x:c r="N357" s="26"/>
      <x:c r="O357" s="22"/>
      <x:c r="P357" s="22" t="str">
        <x:f>IF(OR(B357="",J357="Закрыт"),"",TODAY()-B357)</x:f>
      </x:c>
    </x:row>
    <x:row r="358">
      <x:c r="A358" s="22" t="str">
        <x:f>IF(D358="","","SIG-"&amp;TEXT(ROW()-2,"0000"))</x:f>
      </x:c>
      <x:c r="B358" s="26"/>
      <x:c r="C358" s="22"/>
      <x:c r="D358" s="22"/>
      <x:c r="E358" s="22"/>
      <x:c r="F358" s="22"/>
      <x:c r="G358" s="22"/>
      <x:c r="H358" s="22"/>
      <x:c r="I358" s="22"/>
      <x:c r="J358" s="22"/>
      <x:c r="K358" s="22"/>
      <x:c r="L358" s="22"/>
      <x:c r="M358" s="22"/>
      <x:c r="N358" s="26"/>
      <x:c r="O358" s="22"/>
      <x:c r="P358" s="22" t="str">
        <x:f>IF(OR(B358="",J358="Закрыт"),"",TODAY()-B358)</x:f>
      </x:c>
    </x:row>
    <x:row r="359">
      <x:c r="A359" s="22" t="str">
        <x:f>IF(D359="","","SIG-"&amp;TEXT(ROW()-2,"0000"))</x:f>
      </x:c>
      <x:c r="B359" s="26"/>
      <x:c r="C359" s="22"/>
      <x:c r="D359" s="22"/>
      <x:c r="E359" s="22"/>
      <x:c r="F359" s="22"/>
      <x:c r="G359" s="22"/>
      <x:c r="H359" s="22"/>
      <x:c r="I359" s="22"/>
      <x:c r="J359" s="22"/>
      <x:c r="K359" s="22"/>
      <x:c r="L359" s="22"/>
      <x:c r="M359" s="22"/>
      <x:c r="N359" s="26"/>
      <x:c r="O359" s="22"/>
      <x:c r="P359" s="22" t="str">
        <x:f>IF(OR(B359="",J359="Закрыт"),"",TODAY()-B359)</x:f>
      </x:c>
    </x:row>
    <x:row r="360">
      <x:c r="A360" s="22" t="str">
        <x:f>IF(D360="","","SIG-"&amp;TEXT(ROW()-2,"0000"))</x:f>
      </x:c>
      <x:c r="B360" s="26"/>
      <x:c r="C360" s="22"/>
      <x:c r="D360" s="22"/>
      <x:c r="E360" s="22"/>
      <x:c r="F360" s="22"/>
      <x:c r="G360" s="22"/>
      <x:c r="H360" s="22"/>
      <x:c r="I360" s="22"/>
      <x:c r="J360" s="22"/>
      <x:c r="K360" s="22"/>
      <x:c r="L360" s="22"/>
      <x:c r="M360" s="22"/>
      <x:c r="N360" s="26"/>
      <x:c r="O360" s="22"/>
      <x:c r="P360" s="22" t="str">
        <x:f>IF(OR(B360="",J360="Закрыт"),"",TODAY()-B360)</x:f>
      </x:c>
    </x:row>
    <x:row r="361">
      <x:c r="A361" s="22" t="str">
        <x:f>IF(D361="","","SIG-"&amp;TEXT(ROW()-2,"0000"))</x:f>
      </x:c>
      <x:c r="B361" s="26"/>
      <x:c r="C361" s="22"/>
      <x:c r="D361" s="22"/>
      <x:c r="E361" s="22"/>
      <x:c r="F361" s="22"/>
      <x:c r="G361" s="22"/>
      <x:c r="H361" s="22"/>
      <x:c r="I361" s="22"/>
      <x:c r="J361" s="22"/>
      <x:c r="K361" s="22"/>
      <x:c r="L361" s="22"/>
      <x:c r="M361" s="22"/>
      <x:c r="N361" s="26"/>
      <x:c r="O361" s="22"/>
      <x:c r="P361" s="22" t="str">
        <x:f>IF(OR(B361="",J361="Закрыт"),"",TODAY()-B361)</x:f>
      </x:c>
    </x:row>
    <x:row r="362">
      <x:c r="A362" s="22" t="str">
        <x:f>IF(D362="","","SIG-"&amp;TEXT(ROW()-2,"0000"))</x:f>
      </x:c>
      <x:c r="B362" s="26"/>
      <x:c r="C362" s="22"/>
      <x:c r="D362" s="22"/>
      <x:c r="E362" s="22"/>
      <x:c r="F362" s="22"/>
      <x:c r="G362" s="22"/>
      <x:c r="H362" s="22"/>
      <x:c r="I362" s="22"/>
      <x:c r="J362" s="22"/>
      <x:c r="K362" s="22"/>
      <x:c r="L362" s="22"/>
      <x:c r="M362" s="22"/>
      <x:c r="N362" s="26"/>
      <x:c r="O362" s="22"/>
      <x:c r="P362" s="22" t="str">
        <x:f>IF(OR(B362="",J362="Закрыт"),"",TODAY()-B362)</x:f>
      </x:c>
    </x:row>
    <x:row r="363">
      <x:c r="A363" s="22" t="str">
        <x:f>IF(D363="","","SIG-"&amp;TEXT(ROW()-2,"0000"))</x:f>
      </x:c>
      <x:c r="B363" s="26"/>
      <x:c r="C363" s="22"/>
      <x:c r="D363" s="22"/>
      <x:c r="E363" s="22"/>
      <x:c r="F363" s="22"/>
      <x:c r="G363" s="22"/>
      <x:c r="H363" s="22"/>
      <x:c r="I363" s="22"/>
      <x:c r="J363" s="22"/>
      <x:c r="K363" s="22"/>
      <x:c r="L363" s="22"/>
      <x:c r="M363" s="22"/>
      <x:c r="N363" s="26"/>
      <x:c r="O363" s="22"/>
      <x:c r="P363" s="22" t="str">
        <x:f>IF(OR(B363="",J363="Закрыт"),"",TODAY()-B363)</x:f>
      </x:c>
    </x:row>
    <x:row r="364">
      <x:c r="A364" s="22" t="str">
        <x:f>IF(D364="","","SIG-"&amp;TEXT(ROW()-2,"0000"))</x:f>
      </x:c>
      <x:c r="B364" s="26"/>
      <x:c r="C364" s="22"/>
      <x:c r="D364" s="22"/>
      <x:c r="E364" s="22"/>
      <x:c r="F364" s="22"/>
      <x:c r="G364" s="22"/>
      <x:c r="H364" s="22"/>
      <x:c r="I364" s="22"/>
      <x:c r="J364" s="22"/>
      <x:c r="K364" s="22"/>
      <x:c r="L364" s="22"/>
      <x:c r="M364" s="22"/>
      <x:c r="N364" s="26"/>
      <x:c r="O364" s="22"/>
      <x:c r="P364" s="22" t="str">
        <x:f>IF(OR(B364="",J364="Закрыт"),"",TODAY()-B364)</x:f>
      </x:c>
    </x:row>
    <x:row r="365">
      <x:c r="A365" s="22" t="str">
        <x:f>IF(D365="","","SIG-"&amp;TEXT(ROW()-2,"0000"))</x:f>
      </x:c>
      <x:c r="B365" s="26"/>
      <x:c r="C365" s="22"/>
      <x:c r="D365" s="22"/>
      <x:c r="E365" s="22"/>
      <x:c r="F365" s="22"/>
      <x:c r="G365" s="22"/>
      <x:c r="H365" s="22"/>
      <x:c r="I365" s="22"/>
      <x:c r="J365" s="22"/>
      <x:c r="K365" s="22"/>
      <x:c r="L365" s="22"/>
      <x:c r="M365" s="22"/>
      <x:c r="N365" s="26"/>
      <x:c r="O365" s="22"/>
      <x:c r="P365" s="22" t="str">
        <x:f>IF(OR(B365="",J365="Закрыт"),"",TODAY()-B365)</x:f>
      </x:c>
    </x:row>
    <x:row r="366">
      <x:c r="A366" s="22" t="str">
        <x:f>IF(D366="","","SIG-"&amp;TEXT(ROW()-2,"0000"))</x:f>
      </x:c>
      <x:c r="B366" s="26"/>
      <x:c r="C366" s="22"/>
      <x:c r="D366" s="22"/>
      <x:c r="E366" s="22"/>
      <x:c r="F366" s="22"/>
      <x:c r="G366" s="22"/>
      <x:c r="H366" s="22"/>
      <x:c r="I366" s="22"/>
      <x:c r="J366" s="22"/>
      <x:c r="K366" s="22"/>
      <x:c r="L366" s="22"/>
      <x:c r="M366" s="22"/>
      <x:c r="N366" s="26"/>
      <x:c r="O366" s="22"/>
      <x:c r="P366" s="22" t="str">
        <x:f>IF(OR(B366="",J366="Закрыт"),"",TODAY()-B366)</x:f>
      </x:c>
    </x:row>
    <x:row r="367">
      <x:c r="A367" s="22" t="str">
        <x:f>IF(D367="","","SIG-"&amp;TEXT(ROW()-2,"0000"))</x:f>
      </x:c>
      <x:c r="B367" s="26"/>
      <x:c r="C367" s="22"/>
      <x:c r="D367" s="22"/>
      <x:c r="E367" s="22"/>
      <x:c r="F367" s="22"/>
      <x:c r="G367" s="22"/>
      <x:c r="H367" s="22"/>
      <x:c r="I367" s="22"/>
      <x:c r="J367" s="22"/>
      <x:c r="K367" s="22"/>
      <x:c r="L367" s="22"/>
      <x:c r="M367" s="22"/>
      <x:c r="N367" s="26"/>
      <x:c r="O367" s="22"/>
      <x:c r="P367" s="22" t="str">
        <x:f>IF(OR(B367="",J367="Закрыт"),"",TODAY()-B367)</x:f>
      </x:c>
    </x:row>
    <x:row r="368">
      <x:c r="A368" s="22" t="str">
        <x:f>IF(D368="","","SIG-"&amp;TEXT(ROW()-2,"0000"))</x:f>
      </x:c>
      <x:c r="B368" s="26"/>
      <x:c r="C368" s="22"/>
      <x:c r="D368" s="22"/>
      <x:c r="E368" s="22"/>
      <x:c r="F368" s="22"/>
      <x:c r="G368" s="22"/>
      <x:c r="H368" s="22"/>
      <x:c r="I368" s="22"/>
      <x:c r="J368" s="22"/>
      <x:c r="K368" s="22"/>
      <x:c r="L368" s="22"/>
      <x:c r="M368" s="22"/>
      <x:c r="N368" s="26"/>
      <x:c r="O368" s="22"/>
      <x:c r="P368" s="22" t="str">
        <x:f>IF(OR(B368="",J368="Закрыт"),"",TODAY()-B368)</x:f>
      </x:c>
    </x:row>
    <x:row r="369">
      <x:c r="A369" s="22" t="str">
        <x:f>IF(D369="","","SIG-"&amp;TEXT(ROW()-2,"0000"))</x:f>
      </x:c>
      <x:c r="B369" s="26"/>
      <x:c r="C369" s="22"/>
      <x:c r="D369" s="22"/>
      <x:c r="E369" s="22"/>
      <x:c r="F369" s="22"/>
      <x:c r="G369" s="22"/>
      <x:c r="H369" s="22"/>
      <x:c r="I369" s="22"/>
      <x:c r="J369" s="22"/>
      <x:c r="K369" s="22"/>
      <x:c r="L369" s="22"/>
      <x:c r="M369" s="22"/>
      <x:c r="N369" s="26"/>
      <x:c r="O369" s="22"/>
      <x:c r="P369" s="22" t="str">
        <x:f>IF(OR(B369="",J369="Закрыт"),"",TODAY()-B369)</x:f>
      </x:c>
    </x:row>
    <x:row r="370">
      <x:c r="A370" s="22" t="str">
        <x:f>IF(D370="","","SIG-"&amp;TEXT(ROW()-2,"0000"))</x:f>
      </x:c>
      <x:c r="B370" s="26"/>
      <x:c r="C370" s="22"/>
      <x:c r="D370" s="22"/>
      <x:c r="E370" s="22"/>
      <x:c r="F370" s="22"/>
      <x:c r="G370" s="22"/>
      <x:c r="H370" s="22"/>
      <x:c r="I370" s="22"/>
      <x:c r="J370" s="22"/>
      <x:c r="K370" s="22"/>
      <x:c r="L370" s="22"/>
      <x:c r="M370" s="22"/>
      <x:c r="N370" s="26"/>
      <x:c r="O370" s="22"/>
      <x:c r="P370" s="22" t="str">
        <x:f>IF(OR(B370="",J370="Закрыт"),"",TODAY()-B370)</x:f>
      </x:c>
    </x:row>
    <x:row r="371">
      <x:c r="A371" s="22" t="str">
        <x:f>IF(D371="","","SIG-"&amp;TEXT(ROW()-2,"0000"))</x:f>
      </x:c>
      <x:c r="B371" s="26"/>
      <x:c r="C371" s="22"/>
      <x:c r="D371" s="22"/>
      <x:c r="E371" s="22"/>
      <x:c r="F371" s="22"/>
      <x:c r="G371" s="22"/>
      <x:c r="H371" s="22"/>
      <x:c r="I371" s="22"/>
      <x:c r="J371" s="22"/>
      <x:c r="K371" s="22"/>
      <x:c r="L371" s="22"/>
      <x:c r="M371" s="22"/>
      <x:c r="N371" s="26"/>
      <x:c r="O371" s="22"/>
      <x:c r="P371" s="22" t="str">
        <x:f>IF(OR(B371="",J371="Закрыт"),"",TODAY()-B371)</x:f>
      </x:c>
    </x:row>
    <x:row r="372">
      <x:c r="A372" s="22" t="str">
        <x:f>IF(D372="","","SIG-"&amp;TEXT(ROW()-2,"0000"))</x:f>
      </x:c>
      <x:c r="B372" s="26"/>
      <x:c r="C372" s="22"/>
      <x:c r="D372" s="22"/>
      <x:c r="E372" s="22"/>
      <x:c r="F372" s="22"/>
      <x:c r="G372" s="22"/>
      <x:c r="H372" s="22"/>
      <x:c r="I372" s="22"/>
      <x:c r="J372" s="22"/>
      <x:c r="K372" s="22"/>
      <x:c r="L372" s="22"/>
      <x:c r="M372" s="22"/>
      <x:c r="N372" s="26"/>
      <x:c r="O372" s="22"/>
      <x:c r="P372" s="22" t="str">
        <x:f>IF(OR(B372="",J372="Закрыт"),"",TODAY()-B372)</x:f>
      </x:c>
    </x:row>
    <x:row r="373">
      <x:c r="A373" s="22" t="str">
        <x:f>IF(D373="","","SIG-"&amp;TEXT(ROW()-2,"0000"))</x:f>
      </x:c>
      <x:c r="B373" s="26"/>
      <x:c r="C373" s="22"/>
      <x:c r="D373" s="22"/>
      <x:c r="E373" s="22"/>
      <x:c r="F373" s="22"/>
      <x:c r="G373" s="22"/>
      <x:c r="H373" s="22"/>
      <x:c r="I373" s="22"/>
      <x:c r="J373" s="22"/>
      <x:c r="K373" s="22"/>
      <x:c r="L373" s="22"/>
      <x:c r="M373" s="22"/>
      <x:c r="N373" s="26"/>
      <x:c r="O373" s="22"/>
      <x:c r="P373" s="22" t="str">
        <x:f>IF(OR(B373="",J373="Закрыт"),"",TODAY()-B373)</x:f>
      </x:c>
    </x:row>
    <x:row r="374">
      <x:c r="A374" s="22" t="str">
        <x:f>IF(D374="","","SIG-"&amp;TEXT(ROW()-2,"0000"))</x:f>
      </x:c>
      <x:c r="B374" s="26"/>
      <x:c r="C374" s="22"/>
      <x:c r="D374" s="22"/>
      <x:c r="E374" s="22"/>
      <x:c r="F374" s="22"/>
      <x:c r="G374" s="22"/>
      <x:c r="H374" s="22"/>
      <x:c r="I374" s="22"/>
      <x:c r="J374" s="22"/>
      <x:c r="K374" s="22"/>
      <x:c r="L374" s="22"/>
      <x:c r="M374" s="22"/>
      <x:c r="N374" s="26"/>
      <x:c r="O374" s="22"/>
      <x:c r="P374" s="22" t="str">
        <x:f>IF(OR(B374="",J374="Закрыт"),"",TODAY()-B374)</x:f>
      </x:c>
    </x:row>
    <x:row r="375">
      <x:c r="A375" s="22" t="str">
        <x:f>IF(D375="","","SIG-"&amp;TEXT(ROW()-2,"0000"))</x:f>
      </x:c>
      <x:c r="B375" s="26"/>
      <x:c r="C375" s="22"/>
      <x:c r="D375" s="22"/>
      <x:c r="E375" s="22"/>
      <x:c r="F375" s="22"/>
      <x:c r="G375" s="22"/>
      <x:c r="H375" s="22"/>
      <x:c r="I375" s="22"/>
      <x:c r="J375" s="22"/>
      <x:c r="K375" s="22"/>
      <x:c r="L375" s="22"/>
      <x:c r="M375" s="22"/>
      <x:c r="N375" s="26"/>
      <x:c r="O375" s="22"/>
      <x:c r="P375" s="22" t="str">
        <x:f>IF(OR(B375="",J375="Закрыт"),"",TODAY()-B375)</x:f>
      </x:c>
    </x:row>
    <x:row r="376">
      <x:c r="A376" s="22" t="str">
        <x:f>IF(D376="","","SIG-"&amp;TEXT(ROW()-2,"0000"))</x:f>
      </x:c>
      <x:c r="B376" s="26"/>
      <x:c r="C376" s="22"/>
      <x:c r="D376" s="22"/>
      <x:c r="E376" s="22"/>
      <x:c r="F376" s="22"/>
      <x:c r="G376" s="22"/>
      <x:c r="H376" s="22"/>
      <x:c r="I376" s="22"/>
      <x:c r="J376" s="22"/>
      <x:c r="K376" s="22"/>
      <x:c r="L376" s="22"/>
      <x:c r="M376" s="22"/>
      <x:c r="N376" s="26"/>
      <x:c r="O376" s="22"/>
      <x:c r="P376" s="22" t="str">
        <x:f>IF(OR(B376="",J376="Закрыт"),"",TODAY()-B376)</x:f>
      </x:c>
    </x:row>
    <x:row r="377">
      <x:c r="A377" s="22" t="str">
        <x:f>IF(D377="","","SIG-"&amp;TEXT(ROW()-2,"0000"))</x:f>
      </x:c>
      <x:c r="B377" s="26"/>
      <x:c r="C377" s="22"/>
      <x:c r="D377" s="22"/>
      <x:c r="E377" s="22"/>
      <x:c r="F377" s="22"/>
      <x:c r="G377" s="22"/>
      <x:c r="H377" s="22"/>
      <x:c r="I377" s="22"/>
      <x:c r="J377" s="22"/>
      <x:c r="K377" s="22"/>
      <x:c r="L377" s="22"/>
      <x:c r="M377" s="22"/>
      <x:c r="N377" s="26"/>
      <x:c r="O377" s="22"/>
      <x:c r="P377" s="22" t="str">
        <x:f>IF(OR(B377="",J377="Закрыт"),"",TODAY()-B377)</x:f>
      </x:c>
    </x:row>
    <x:row r="378">
      <x:c r="A378" s="22" t="str">
        <x:f>IF(D378="","","SIG-"&amp;TEXT(ROW()-2,"0000"))</x:f>
      </x:c>
      <x:c r="B378" s="26"/>
      <x:c r="C378" s="22"/>
      <x:c r="D378" s="22"/>
      <x:c r="E378" s="22"/>
      <x:c r="F378" s="22"/>
      <x:c r="G378" s="22"/>
      <x:c r="H378" s="22"/>
      <x:c r="I378" s="22"/>
      <x:c r="J378" s="22"/>
      <x:c r="K378" s="22"/>
      <x:c r="L378" s="22"/>
      <x:c r="M378" s="22"/>
      <x:c r="N378" s="26"/>
      <x:c r="O378" s="22"/>
      <x:c r="P378" s="22" t="str">
        <x:f>IF(OR(B378="",J378="Закрыт"),"",TODAY()-B378)</x:f>
      </x:c>
    </x:row>
    <x:row r="379">
      <x:c r="A379" s="22" t="str">
        <x:f>IF(D379="","","SIG-"&amp;TEXT(ROW()-2,"0000"))</x:f>
      </x:c>
      <x:c r="B379" s="26"/>
      <x:c r="C379" s="22"/>
      <x:c r="D379" s="22"/>
      <x:c r="E379" s="22"/>
      <x:c r="F379" s="22"/>
      <x:c r="G379" s="22"/>
      <x:c r="H379" s="22"/>
      <x:c r="I379" s="22"/>
      <x:c r="J379" s="22"/>
      <x:c r="K379" s="22"/>
      <x:c r="L379" s="22"/>
      <x:c r="M379" s="22"/>
      <x:c r="N379" s="26"/>
      <x:c r="O379" s="22"/>
      <x:c r="P379" s="22" t="str">
        <x:f>IF(OR(B379="",J379="Закрыт"),"",TODAY()-B379)</x:f>
      </x:c>
    </x:row>
    <x:row r="380">
      <x:c r="A380" s="22" t="str">
        <x:f>IF(D380="","","SIG-"&amp;TEXT(ROW()-2,"0000"))</x:f>
      </x:c>
      <x:c r="B380" s="26"/>
      <x:c r="C380" s="22"/>
      <x:c r="D380" s="22"/>
      <x:c r="E380" s="22"/>
      <x:c r="F380" s="22"/>
      <x:c r="G380" s="22"/>
      <x:c r="H380" s="22"/>
      <x:c r="I380" s="22"/>
      <x:c r="J380" s="22"/>
      <x:c r="K380" s="22"/>
      <x:c r="L380" s="22"/>
      <x:c r="M380" s="22"/>
      <x:c r="N380" s="26"/>
      <x:c r="O380" s="22"/>
      <x:c r="P380" s="22" t="str">
        <x:f>IF(OR(B380="",J380="Закрыт"),"",TODAY()-B380)</x:f>
      </x:c>
    </x:row>
    <x:row r="381">
      <x:c r="A381" s="22" t="str">
        <x:f>IF(D381="","","SIG-"&amp;TEXT(ROW()-2,"0000"))</x:f>
      </x:c>
      <x:c r="B381" s="26"/>
      <x:c r="C381" s="22"/>
      <x:c r="D381" s="22"/>
      <x:c r="E381" s="22"/>
      <x:c r="F381" s="22"/>
      <x:c r="G381" s="22"/>
      <x:c r="H381" s="22"/>
      <x:c r="I381" s="22"/>
      <x:c r="J381" s="22"/>
      <x:c r="K381" s="22"/>
      <x:c r="L381" s="22"/>
      <x:c r="M381" s="22"/>
      <x:c r="N381" s="26"/>
      <x:c r="O381" s="22"/>
      <x:c r="P381" s="22" t="str">
        <x:f>IF(OR(B381="",J381="Закрыт"),"",TODAY()-B381)</x:f>
      </x:c>
    </x:row>
    <x:row r="382">
      <x:c r="A382" s="22" t="str">
        <x:f>IF(D382="","","SIG-"&amp;TEXT(ROW()-2,"0000"))</x:f>
      </x:c>
      <x:c r="B382" s="26"/>
      <x:c r="C382" s="22"/>
      <x:c r="D382" s="22"/>
      <x:c r="E382" s="22"/>
      <x:c r="F382" s="22"/>
      <x:c r="G382" s="22"/>
      <x:c r="H382" s="22"/>
      <x:c r="I382" s="22"/>
      <x:c r="J382" s="22"/>
      <x:c r="K382" s="22"/>
      <x:c r="L382" s="22"/>
      <x:c r="M382" s="22"/>
      <x:c r="N382" s="26"/>
      <x:c r="O382" s="22"/>
      <x:c r="P382" s="22" t="str">
        <x:f>IF(OR(B382="",J382="Закрыт"),"",TODAY()-B382)</x:f>
      </x:c>
    </x:row>
    <x:row r="383">
      <x:c r="A383" s="22" t="str">
        <x:f>IF(D383="","","SIG-"&amp;TEXT(ROW()-2,"0000"))</x:f>
      </x:c>
      <x:c r="B383" s="26"/>
      <x:c r="C383" s="22"/>
      <x:c r="D383" s="22"/>
      <x:c r="E383" s="22"/>
      <x:c r="F383" s="22"/>
      <x:c r="G383" s="22"/>
      <x:c r="H383" s="22"/>
      <x:c r="I383" s="22"/>
      <x:c r="J383" s="22"/>
      <x:c r="K383" s="22"/>
      <x:c r="L383" s="22"/>
      <x:c r="M383" s="22"/>
      <x:c r="N383" s="26"/>
      <x:c r="O383" s="22"/>
      <x:c r="P383" s="22" t="str">
        <x:f>IF(OR(B383="",J383="Закрыт"),"",TODAY()-B383)</x:f>
      </x:c>
    </x:row>
    <x:row r="384">
      <x:c r="A384" s="22" t="str">
        <x:f>IF(D384="","","SIG-"&amp;TEXT(ROW()-2,"0000"))</x:f>
      </x:c>
      <x:c r="B384" s="26"/>
      <x:c r="C384" s="22"/>
      <x:c r="D384" s="22"/>
      <x:c r="E384" s="22"/>
      <x:c r="F384" s="22"/>
      <x:c r="G384" s="22"/>
      <x:c r="H384" s="22"/>
      <x:c r="I384" s="22"/>
      <x:c r="J384" s="22"/>
      <x:c r="K384" s="22"/>
      <x:c r="L384" s="22"/>
      <x:c r="M384" s="22"/>
      <x:c r="N384" s="26"/>
      <x:c r="O384" s="22"/>
      <x:c r="P384" s="22" t="str">
        <x:f>IF(OR(B384="",J384="Закрыт"),"",TODAY()-B384)</x:f>
      </x:c>
    </x:row>
    <x:row r="385">
      <x:c r="A385" s="22" t="str">
        <x:f>IF(D385="","","SIG-"&amp;TEXT(ROW()-2,"0000"))</x:f>
      </x:c>
      <x:c r="B385" s="26"/>
      <x:c r="C385" s="22"/>
      <x:c r="D385" s="22"/>
      <x:c r="E385" s="22"/>
      <x:c r="F385" s="22"/>
      <x:c r="G385" s="22"/>
      <x:c r="H385" s="22"/>
      <x:c r="I385" s="22"/>
      <x:c r="J385" s="22"/>
      <x:c r="K385" s="22"/>
      <x:c r="L385" s="22"/>
      <x:c r="M385" s="22"/>
      <x:c r="N385" s="26"/>
      <x:c r="O385" s="22"/>
      <x:c r="P385" s="22" t="str">
        <x:f>IF(OR(B385="",J385="Закрыт"),"",TODAY()-B385)</x:f>
      </x:c>
    </x:row>
    <x:row r="386">
      <x:c r="A386" s="22" t="str">
        <x:f>IF(D386="","","SIG-"&amp;TEXT(ROW()-2,"0000"))</x:f>
      </x:c>
      <x:c r="B386" s="26"/>
      <x:c r="C386" s="22"/>
      <x:c r="D386" s="22"/>
      <x:c r="E386" s="22"/>
      <x:c r="F386" s="22"/>
      <x:c r="G386" s="22"/>
      <x:c r="H386" s="22"/>
      <x:c r="I386" s="22"/>
      <x:c r="J386" s="22"/>
      <x:c r="K386" s="22"/>
      <x:c r="L386" s="22"/>
      <x:c r="M386" s="22"/>
      <x:c r="N386" s="26"/>
      <x:c r="O386" s="22"/>
      <x:c r="P386" s="22" t="str">
        <x:f>IF(OR(B386="",J386="Закрыт"),"",TODAY()-B386)</x:f>
      </x:c>
    </x:row>
    <x:row r="387">
      <x:c r="A387" s="22" t="str">
        <x:f>IF(D387="","","SIG-"&amp;TEXT(ROW()-2,"0000"))</x:f>
      </x:c>
      <x:c r="B387" s="26"/>
      <x:c r="C387" s="22"/>
      <x:c r="D387" s="22"/>
      <x:c r="E387" s="22"/>
      <x:c r="F387" s="22"/>
      <x:c r="G387" s="22"/>
      <x:c r="H387" s="22"/>
      <x:c r="I387" s="22"/>
      <x:c r="J387" s="22"/>
      <x:c r="K387" s="22"/>
      <x:c r="L387" s="22"/>
      <x:c r="M387" s="22"/>
      <x:c r="N387" s="26"/>
      <x:c r="O387" s="22"/>
      <x:c r="P387" s="22" t="str">
        <x:f>IF(OR(B387="",J387="Закрыт"),"",TODAY()-B387)</x:f>
      </x:c>
    </x:row>
    <x:row r="388">
      <x:c r="A388" s="22" t="str">
        <x:f>IF(D388="","","SIG-"&amp;TEXT(ROW()-2,"0000"))</x:f>
      </x:c>
      <x:c r="B388" s="26"/>
      <x:c r="C388" s="22"/>
      <x:c r="D388" s="22"/>
      <x:c r="E388" s="22"/>
      <x:c r="F388" s="22"/>
      <x:c r="G388" s="22"/>
      <x:c r="H388" s="22"/>
      <x:c r="I388" s="22"/>
      <x:c r="J388" s="22"/>
      <x:c r="K388" s="22"/>
      <x:c r="L388" s="22"/>
      <x:c r="M388" s="22"/>
      <x:c r="N388" s="26"/>
      <x:c r="O388" s="22"/>
      <x:c r="P388" s="22" t="str">
        <x:f>IF(OR(B388="",J388="Закрыт"),"",TODAY()-B388)</x:f>
      </x:c>
    </x:row>
    <x:row r="389">
      <x:c r="A389" s="22" t="str">
        <x:f>IF(D389="","","SIG-"&amp;TEXT(ROW()-2,"0000"))</x:f>
      </x:c>
      <x:c r="B389" s="26"/>
      <x:c r="C389" s="22"/>
      <x:c r="D389" s="22"/>
      <x:c r="E389" s="22"/>
      <x:c r="F389" s="22"/>
      <x:c r="G389" s="22"/>
      <x:c r="H389" s="22"/>
      <x:c r="I389" s="22"/>
      <x:c r="J389" s="22"/>
      <x:c r="K389" s="22"/>
      <x:c r="L389" s="22"/>
      <x:c r="M389" s="22"/>
      <x:c r="N389" s="26"/>
      <x:c r="O389" s="22"/>
      <x:c r="P389" s="22" t="str">
        <x:f>IF(OR(B389="",J389="Закрыт"),"",TODAY()-B389)</x:f>
      </x:c>
    </x:row>
    <x:row r="390">
      <x:c r="A390" s="22" t="str">
        <x:f>IF(D390="","","SIG-"&amp;TEXT(ROW()-2,"0000"))</x:f>
      </x:c>
      <x:c r="B390" s="26"/>
      <x:c r="C390" s="22"/>
      <x:c r="D390" s="22"/>
      <x:c r="E390" s="22"/>
      <x:c r="F390" s="22"/>
      <x:c r="G390" s="22"/>
      <x:c r="H390" s="22"/>
      <x:c r="I390" s="22"/>
      <x:c r="J390" s="22"/>
      <x:c r="K390" s="22"/>
      <x:c r="L390" s="22"/>
      <x:c r="M390" s="22"/>
      <x:c r="N390" s="26"/>
      <x:c r="O390" s="22"/>
      <x:c r="P390" s="22" t="str">
        <x:f>IF(OR(B390="",J390="Закрыт"),"",TODAY()-B390)</x:f>
      </x:c>
    </x:row>
    <x:row r="391">
      <x:c r="A391" s="22" t="str">
        <x:f>IF(D391="","","SIG-"&amp;TEXT(ROW()-2,"0000"))</x:f>
      </x:c>
      <x:c r="B391" s="26"/>
      <x:c r="C391" s="22"/>
      <x:c r="D391" s="22"/>
      <x:c r="E391" s="22"/>
      <x:c r="F391" s="22"/>
      <x:c r="G391" s="22"/>
      <x:c r="H391" s="22"/>
      <x:c r="I391" s="22"/>
      <x:c r="J391" s="22"/>
      <x:c r="K391" s="22"/>
      <x:c r="L391" s="22"/>
      <x:c r="M391" s="22"/>
      <x:c r="N391" s="26"/>
      <x:c r="O391" s="22"/>
      <x:c r="P391" s="22" t="str">
        <x:f>IF(OR(B391="",J391="Закрыт"),"",TODAY()-B391)</x:f>
      </x:c>
    </x:row>
    <x:row r="392">
      <x:c r="A392" s="22" t="str">
        <x:f>IF(D392="","","SIG-"&amp;TEXT(ROW()-2,"0000"))</x:f>
      </x:c>
      <x:c r="B392" s="26"/>
      <x:c r="C392" s="22"/>
      <x:c r="D392" s="22"/>
      <x:c r="E392" s="22"/>
      <x:c r="F392" s="22"/>
      <x:c r="G392" s="22"/>
      <x:c r="H392" s="22"/>
      <x:c r="I392" s="22"/>
      <x:c r="J392" s="22"/>
      <x:c r="K392" s="22"/>
      <x:c r="L392" s="22"/>
      <x:c r="M392" s="22"/>
      <x:c r="N392" s="26"/>
      <x:c r="O392" s="22"/>
      <x:c r="P392" s="22" t="str">
        <x:f>IF(OR(B392="",J392="Закрыт"),"",TODAY()-B392)</x:f>
      </x:c>
    </x:row>
    <x:row r="393">
      <x:c r="A393" s="22" t="str">
        <x:f>IF(D393="","","SIG-"&amp;TEXT(ROW()-2,"0000"))</x:f>
      </x:c>
      <x:c r="B393" s="26"/>
      <x:c r="C393" s="22"/>
      <x:c r="D393" s="22"/>
      <x:c r="E393" s="22"/>
      <x:c r="F393" s="22"/>
      <x:c r="G393" s="22"/>
      <x:c r="H393" s="22"/>
      <x:c r="I393" s="22"/>
      <x:c r="J393" s="22"/>
      <x:c r="K393" s="22"/>
      <x:c r="L393" s="22"/>
      <x:c r="M393" s="22"/>
      <x:c r="N393" s="26"/>
      <x:c r="O393" s="22"/>
      <x:c r="P393" s="22" t="str">
        <x:f>IF(OR(B393="",J393="Закрыт"),"",TODAY()-B393)</x:f>
      </x:c>
    </x:row>
    <x:row r="394">
      <x:c r="A394" s="22" t="str">
        <x:f>IF(D394="","","SIG-"&amp;TEXT(ROW()-2,"0000"))</x:f>
      </x:c>
      <x:c r="B394" s="26"/>
      <x:c r="C394" s="22"/>
      <x:c r="D394" s="22"/>
      <x:c r="E394" s="22"/>
      <x:c r="F394" s="22"/>
      <x:c r="G394" s="22"/>
      <x:c r="H394" s="22"/>
      <x:c r="I394" s="22"/>
      <x:c r="J394" s="22"/>
      <x:c r="K394" s="22"/>
      <x:c r="L394" s="22"/>
      <x:c r="M394" s="22"/>
      <x:c r="N394" s="26"/>
      <x:c r="O394" s="22"/>
      <x:c r="P394" s="22" t="str">
        <x:f>IF(OR(B394="",J394="Закрыт"),"",TODAY()-B394)</x:f>
      </x:c>
    </x:row>
    <x:row r="395">
      <x:c r="A395" s="22" t="str">
        <x:f>IF(D395="","","SIG-"&amp;TEXT(ROW()-2,"0000"))</x:f>
      </x:c>
      <x:c r="B395" s="26"/>
      <x:c r="C395" s="22"/>
      <x:c r="D395" s="22"/>
      <x:c r="E395" s="22"/>
      <x:c r="F395" s="22"/>
      <x:c r="G395" s="22"/>
      <x:c r="H395" s="22"/>
      <x:c r="I395" s="22"/>
      <x:c r="J395" s="22"/>
      <x:c r="K395" s="22"/>
      <x:c r="L395" s="22"/>
      <x:c r="M395" s="22"/>
      <x:c r="N395" s="26"/>
      <x:c r="O395" s="22"/>
      <x:c r="P395" s="22" t="str">
        <x:f>IF(OR(B395="",J395="Закрыт"),"",TODAY()-B395)</x:f>
      </x:c>
    </x:row>
    <x:row r="396">
      <x:c r="A396" s="22" t="str">
        <x:f>IF(D396="","","SIG-"&amp;TEXT(ROW()-2,"0000"))</x:f>
      </x:c>
      <x:c r="B396" s="26"/>
      <x:c r="C396" s="22"/>
      <x:c r="D396" s="22"/>
      <x:c r="E396" s="22"/>
      <x:c r="F396" s="22"/>
      <x:c r="G396" s="22"/>
      <x:c r="H396" s="22"/>
      <x:c r="I396" s="22"/>
      <x:c r="J396" s="22"/>
      <x:c r="K396" s="22"/>
      <x:c r="L396" s="22"/>
      <x:c r="M396" s="22"/>
      <x:c r="N396" s="26"/>
      <x:c r="O396" s="22"/>
      <x:c r="P396" s="22" t="str">
        <x:f>IF(OR(B396="",J396="Закрыт"),"",TODAY()-B396)</x:f>
      </x:c>
    </x:row>
    <x:row r="397">
      <x:c r="A397" s="22" t="str">
        <x:f>IF(D397="","","SIG-"&amp;TEXT(ROW()-2,"0000"))</x:f>
      </x:c>
      <x:c r="B397" s="26"/>
      <x:c r="C397" s="22"/>
      <x:c r="D397" s="22"/>
      <x:c r="E397" s="22"/>
      <x:c r="F397" s="22"/>
      <x:c r="G397" s="22"/>
      <x:c r="H397" s="22"/>
      <x:c r="I397" s="22"/>
      <x:c r="J397" s="22"/>
      <x:c r="K397" s="22"/>
      <x:c r="L397" s="22"/>
      <x:c r="M397" s="22"/>
      <x:c r="N397" s="26"/>
      <x:c r="O397" s="22"/>
      <x:c r="P397" s="22" t="str">
        <x:f>IF(OR(B397="",J397="Закрыт"),"",TODAY()-B397)</x:f>
      </x:c>
    </x:row>
    <x:row r="398">
      <x:c r="A398" s="22" t="str">
        <x:f>IF(D398="","","SIG-"&amp;TEXT(ROW()-2,"0000"))</x:f>
      </x:c>
      <x:c r="B398" s="26"/>
      <x:c r="C398" s="22"/>
      <x:c r="D398" s="22"/>
      <x:c r="E398" s="22"/>
      <x:c r="F398" s="22"/>
      <x:c r="G398" s="22"/>
      <x:c r="H398" s="22"/>
      <x:c r="I398" s="22"/>
      <x:c r="J398" s="22"/>
      <x:c r="K398" s="22"/>
      <x:c r="L398" s="22"/>
      <x:c r="M398" s="22"/>
      <x:c r="N398" s="26"/>
      <x:c r="O398" s="22"/>
      <x:c r="P398" s="22" t="str">
        <x:f>IF(OR(B398="",J398="Закрыт"),"",TODAY()-B398)</x:f>
      </x:c>
    </x:row>
    <x:row r="399">
      <x:c r="A399" s="22" t="str">
        <x:f>IF(D399="","","SIG-"&amp;TEXT(ROW()-2,"0000"))</x:f>
      </x:c>
      <x:c r="B399" s="26"/>
      <x:c r="C399" s="22"/>
      <x:c r="D399" s="22"/>
      <x:c r="E399" s="22"/>
      <x:c r="F399" s="22"/>
      <x:c r="G399" s="22"/>
      <x:c r="H399" s="22"/>
      <x:c r="I399" s="22"/>
      <x:c r="J399" s="22"/>
      <x:c r="K399" s="22"/>
      <x:c r="L399" s="22"/>
      <x:c r="M399" s="22"/>
      <x:c r="N399" s="26"/>
      <x:c r="O399" s="22"/>
      <x:c r="P399" s="22" t="str">
        <x:f>IF(OR(B399="",J399="Закрыт"),"",TODAY()-B399)</x:f>
      </x:c>
    </x:row>
    <x:row r="400">
      <x:c r="A400" s="22" t="str">
        <x:f>IF(D400="","","SIG-"&amp;TEXT(ROW()-2,"0000"))</x:f>
      </x:c>
      <x:c r="B400" s="26"/>
      <x:c r="C400" s="22"/>
      <x:c r="D400" s="22"/>
      <x:c r="E400" s="22"/>
      <x:c r="F400" s="22"/>
      <x:c r="G400" s="22"/>
      <x:c r="H400" s="22"/>
      <x:c r="I400" s="22"/>
      <x:c r="J400" s="22"/>
      <x:c r="K400" s="22"/>
      <x:c r="L400" s="22"/>
      <x:c r="M400" s="22"/>
      <x:c r="N400" s="26"/>
      <x:c r="O400" s="22"/>
      <x:c r="P400" s="22" t="str">
        <x:f>IF(OR(B400="",J400="Закрыт"),"",TODAY()-B400)</x:f>
      </x:c>
    </x:row>
    <x:row r="401">
      <x:c r="A401" s="22" t="str">
        <x:f>IF(D401="","","SIG-"&amp;TEXT(ROW()-2,"0000"))</x:f>
      </x:c>
      <x:c r="B401" s="26"/>
      <x:c r="C401" s="22"/>
      <x:c r="D401" s="22"/>
      <x:c r="E401" s="22"/>
      <x:c r="F401" s="22"/>
      <x:c r="G401" s="22"/>
      <x:c r="H401" s="22"/>
      <x:c r="I401" s="22"/>
      <x:c r="J401" s="22"/>
      <x:c r="K401" s="22"/>
      <x:c r="L401" s="22"/>
      <x:c r="M401" s="22"/>
      <x:c r="N401" s="26"/>
      <x:c r="O401" s="22"/>
      <x:c r="P401" s="22" t="str">
        <x:f>IF(OR(B401="",J401="Закрыт"),"",TODAY()-B401)</x:f>
      </x:c>
    </x:row>
    <x:row r="402">
      <x:c r="A402" s="22" t="str">
        <x:f>IF(D402="","","SIG-"&amp;TEXT(ROW()-2,"0000"))</x:f>
      </x:c>
      <x:c r="B402" s="26"/>
      <x:c r="C402" s="22"/>
      <x:c r="D402" s="22"/>
      <x:c r="E402" s="22"/>
      <x:c r="F402" s="22"/>
      <x:c r="G402" s="22"/>
      <x:c r="H402" s="22"/>
      <x:c r="I402" s="22"/>
      <x:c r="J402" s="22"/>
      <x:c r="K402" s="22"/>
      <x:c r="L402" s="22"/>
      <x:c r="M402" s="22"/>
      <x:c r="N402" s="26"/>
      <x:c r="O402" s="22"/>
      <x:c r="P402" s="22" t="str">
        <x:f>IF(OR(B402="",J402="Закрыт"),"",TODAY()-B402)</x:f>
      </x:c>
    </x:row>
    <x:row r="403">
      <x:c r="A403" s="22" t="str">
        <x:f>IF(D403="","","SIG-"&amp;TEXT(ROW()-2,"0000"))</x:f>
      </x:c>
      <x:c r="B403" s="26"/>
      <x:c r="C403" s="22"/>
      <x:c r="D403" s="22"/>
      <x:c r="E403" s="22"/>
      <x:c r="F403" s="22"/>
      <x:c r="G403" s="22"/>
      <x:c r="H403" s="22"/>
      <x:c r="I403" s="22"/>
      <x:c r="J403" s="22"/>
      <x:c r="K403" s="22"/>
      <x:c r="L403" s="22"/>
      <x:c r="M403" s="22"/>
      <x:c r="N403" s="26"/>
      <x:c r="O403" s="22"/>
      <x:c r="P403" s="22" t="str">
        <x:f>IF(OR(B403="",J403="Закрыт"),"",TODAY()-B403)</x:f>
      </x:c>
    </x:row>
    <x:row r="404">
      <x:c r="A404" s="22" t="str">
        <x:f>IF(D404="","","SIG-"&amp;TEXT(ROW()-2,"0000"))</x:f>
      </x:c>
      <x:c r="B404" s="26"/>
      <x:c r="C404" s="22"/>
      <x:c r="D404" s="22"/>
      <x:c r="E404" s="22"/>
      <x:c r="F404" s="22"/>
      <x:c r="G404" s="22"/>
      <x:c r="H404" s="22"/>
      <x:c r="I404" s="22"/>
      <x:c r="J404" s="22"/>
      <x:c r="K404" s="22"/>
      <x:c r="L404" s="22"/>
      <x:c r="M404" s="22"/>
      <x:c r="N404" s="26"/>
      <x:c r="O404" s="22"/>
      <x:c r="P404" s="22" t="str">
        <x:f>IF(OR(B404="",J404="Закрыт"),"",TODAY()-B404)</x:f>
      </x:c>
    </x:row>
    <x:row r="405">
      <x:c r="A405" s="22" t="str">
        <x:f>IF(D405="","","SIG-"&amp;TEXT(ROW()-2,"0000"))</x:f>
      </x:c>
      <x:c r="B405" s="26"/>
      <x:c r="C405" s="22"/>
      <x:c r="D405" s="22"/>
      <x:c r="E405" s="22"/>
      <x:c r="F405" s="22"/>
      <x:c r="G405" s="22"/>
      <x:c r="H405" s="22"/>
      <x:c r="I405" s="22"/>
      <x:c r="J405" s="22"/>
      <x:c r="K405" s="22"/>
      <x:c r="L405" s="22"/>
      <x:c r="M405" s="22"/>
      <x:c r="N405" s="26"/>
      <x:c r="O405" s="22"/>
      <x:c r="P405" s="22" t="str">
        <x:f>IF(OR(B405="",J405="Закрыт"),"",TODAY()-B405)</x:f>
      </x:c>
    </x:row>
    <x:row r="406">
      <x:c r="A406" s="22" t="str">
        <x:f>IF(D406="","","SIG-"&amp;TEXT(ROW()-2,"0000"))</x:f>
      </x:c>
      <x:c r="B406" s="26"/>
      <x:c r="C406" s="22"/>
      <x:c r="D406" s="22"/>
      <x:c r="E406" s="22"/>
      <x:c r="F406" s="22"/>
      <x:c r="G406" s="22"/>
      <x:c r="H406" s="22"/>
      <x:c r="I406" s="22"/>
      <x:c r="J406" s="22"/>
      <x:c r="K406" s="22"/>
      <x:c r="L406" s="22"/>
      <x:c r="M406" s="22"/>
      <x:c r="N406" s="26"/>
      <x:c r="O406" s="22"/>
      <x:c r="P406" s="22" t="str">
        <x:f>IF(OR(B406="",J406="Закрыт"),"",TODAY()-B406)</x:f>
      </x:c>
    </x:row>
    <x:row r="407">
      <x:c r="A407" s="22" t="str">
        <x:f>IF(D407="","","SIG-"&amp;TEXT(ROW()-2,"0000"))</x:f>
      </x:c>
      <x:c r="B407" s="26"/>
      <x:c r="C407" s="22"/>
      <x:c r="D407" s="22"/>
      <x:c r="E407" s="22"/>
      <x:c r="F407" s="22"/>
      <x:c r="G407" s="22"/>
      <x:c r="H407" s="22"/>
      <x:c r="I407" s="22"/>
      <x:c r="J407" s="22"/>
      <x:c r="K407" s="22"/>
      <x:c r="L407" s="22"/>
      <x:c r="M407" s="22"/>
      <x:c r="N407" s="26"/>
      <x:c r="O407" s="22"/>
      <x:c r="P407" s="22" t="str">
        <x:f>IF(OR(B407="",J407="Закрыт"),"",TODAY()-B407)</x:f>
      </x:c>
    </x:row>
    <x:row r="408">
      <x:c r="A408" s="22" t="str">
        <x:f>IF(D408="","","SIG-"&amp;TEXT(ROW()-2,"0000"))</x:f>
      </x:c>
      <x:c r="B408" s="26"/>
      <x:c r="C408" s="22"/>
      <x:c r="D408" s="22"/>
      <x:c r="E408" s="22"/>
      <x:c r="F408" s="22"/>
      <x:c r="G408" s="22"/>
      <x:c r="H408" s="22"/>
      <x:c r="I408" s="22"/>
      <x:c r="J408" s="22"/>
      <x:c r="K408" s="22"/>
      <x:c r="L408" s="22"/>
      <x:c r="M408" s="22"/>
      <x:c r="N408" s="26"/>
      <x:c r="O408" s="22"/>
      <x:c r="P408" s="22" t="str">
        <x:f>IF(OR(B408="",J408="Закрыт"),"",TODAY()-B408)</x:f>
      </x:c>
    </x:row>
    <x:row r="409">
      <x:c r="A409" s="22" t="str">
        <x:f>IF(D409="","","SIG-"&amp;TEXT(ROW()-2,"0000"))</x:f>
      </x:c>
      <x:c r="B409" s="26"/>
      <x:c r="C409" s="22"/>
      <x:c r="D409" s="22"/>
      <x:c r="E409" s="22"/>
      <x:c r="F409" s="22"/>
      <x:c r="G409" s="22"/>
      <x:c r="H409" s="22"/>
      <x:c r="I409" s="22"/>
      <x:c r="J409" s="22"/>
      <x:c r="K409" s="22"/>
      <x:c r="L409" s="22"/>
      <x:c r="M409" s="22"/>
      <x:c r="N409" s="26"/>
      <x:c r="O409" s="22"/>
      <x:c r="P409" s="22" t="str">
        <x:f>IF(OR(B409="",J409="Закрыт"),"",TODAY()-B409)</x:f>
      </x:c>
    </x:row>
    <x:row r="410">
      <x:c r="A410" s="22" t="str">
        <x:f>IF(D410="","","SIG-"&amp;TEXT(ROW()-2,"0000"))</x:f>
      </x:c>
      <x:c r="B410" s="26"/>
      <x:c r="C410" s="22"/>
      <x:c r="D410" s="22"/>
      <x:c r="E410" s="22"/>
      <x:c r="F410" s="22"/>
      <x:c r="G410" s="22"/>
      <x:c r="H410" s="22"/>
      <x:c r="I410" s="22"/>
      <x:c r="J410" s="22"/>
      <x:c r="K410" s="22"/>
      <x:c r="L410" s="22"/>
      <x:c r="M410" s="22"/>
      <x:c r="N410" s="26"/>
      <x:c r="O410" s="22"/>
      <x:c r="P410" s="22" t="str">
        <x:f>IF(OR(B410="",J410="Закрыт"),"",TODAY()-B410)</x:f>
      </x:c>
    </x:row>
    <x:row r="411">
      <x:c r="A411" s="22" t="str">
        <x:f>IF(D411="","","SIG-"&amp;TEXT(ROW()-2,"0000"))</x:f>
      </x:c>
      <x:c r="B411" s="26"/>
      <x:c r="C411" s="22"/>
      <x:c r="D411" s="22"/>
      <x:c r="E411" s="22"/>
      <x:c r="F411" s="22"/>
      <x:c r="G411" s="22"/>
      <x:c r="H411" s="22"/>
      <x:c r="I411" s="22"/>
      <x:c r="J411" s="22"/>
      <x:c r="K411" s="22"/>
      <x:c r="L411" s="22"/>
      <x:c r="M411" s="22"/>
      <x:c r="N411" s="26"/>
      <x:c r="O411" s="22"/>
      <x:c r="P411" s="22" t="str">
        <x:f>IF(OR(B411="",J411="Закрыт"),"",TODAY()-B411)</x:f>
      </x:c>
    </x:row>
    <x:row r="412">
      <x:c r="A412" s="22" t="str">
        <x:f>IF(D412="","","SIG-"&amp;TEXT(ROW()-2,"0000"))</x:f>
      </x:c>
      <x:c r="B412" s="26"/>
      <x:c r="C412" s="22"/>
      <x:c r="D412" s="22"/>
      <x:c r="E412" s="22"/>
      <x:c r="F412" s="22"/>
      <x:c r="G412" s="22"/>
      <x:c r="H412" s="22"/>
      <x:c r="I412" s="22"/>
      <x:c r="J412" s="22"/>
      <x:c r="K412" s="22"/>
      <x:c r="L412" s="22"/>
      <x:c r="M412" s="22"/>
      <x:c r="N412" s="26"/>
      <x:c r="O412" s="22"/>
      <x:c r="P412" s="22" t="str">
        <x:f>IF(OR(B412="",J412="Закрыт"),"",TODAY()-B412)</x:f>
      </x:c>
    </x:row>
    <x:row r="413">
      <x:c r="A413" s="22" t="str">
        <x:f>IF(D413="","","SIG-"&amp;TEXT(ROW()-2,"0000"))</x:f>
      </x:c>
      <x:c r="B413" s="26"/>
      <x:c r="C413" s="22"/>
      <x:c r="D413" s="22"/>
      <x:c r="E413" s="22"/>
      <x:c r="F413" s="22"/>
      <x:c r="G413" s="22"/>
      <x:c r="H413" s="22"/>
      <x:c r="I413" s="22"/>
      <x:c r="J413" s="22"/>
      <x:c r="K413" s="22"/>
      <x:c r="L413" s="22"/>
      <x:c r="M413" s="22"/>
      <x:c r="N413" s="26"/>
      <x:c r="O413" s="22"/>
      <x:c r="P413" s="22" t="str">
        <x:f>IF(OR(B413="",J413="Закрыт"),"",TODAY()-B413)</x:f>
      </x:c>
    </x:row>
    <x:row r="414">
      <x:c r="A414" s="22" t="str">
        <x:f>IF(D414="","","SIG-"&amp;TEXT(ROW()-2,"0000"))</x:f>
      </x:c>
      <x:c r="B414" s="26"/>
      <x:c r="C414" s="22"/>
      <x:c r="D414" s="22"/>
      <x:c r="E414" s="22"/>
      <x:c r="F414" s="22"/>
      <x:c r="G414" s="22"/>
      <x:c r="H414" s="22"/>
      <x:c r="I414" s="22"/>
      <x:c r="J414" s="22"/>
      <x:c r="K414" s="22"/>
      <x:c r="L414" s="22"/>
      <x:c r="M414" s="22"/>
      <x:c r="N414" s="26"/>
      <x:c r="O414" s="22"/>
      <x:c r="P414" s="22" t="str">
        <x:f>IF(OR(B414="",J414="Закрыт"),"",TODAY()-B414)</x:f>
      </x:c>
    </x:row>
    <x:row r="415">
      <x:c r="A415" s="22" t="str">
        <x:f>IF(D415="","","SIG-"&amp;TEXT(ROW()-2,"0000"))</x:f>
      </x:c>
      <x:c r="B415" s="26"/>
      <x:c r="C415" s="22"/>
      <x:c r="D415" s="22"/>
      <x:c r="E415" s="22"/>
      <x:c r="F415" s="22"/>
      <x:c r="G415" s="22"/>
      <x:c r="H415" s="22"/>
      <x:c r="I415" s="22"/>
      <x:c r="J415" s="22"/>
      <x:c r="K415" s="22"/>
      <x:c r="L415" s="22"/>
      <x:c r="M415" s="22"/>
      <x:c r="N415" s="26"/>
      <x:c r="O415" s="22"/>
      <x:c r="P415" s="22" t="str">
        <x:f>IF(OR(B415="",J415="Закрыт"),"",TODAY()-B415)</x:f>
      </x:c>
    </x:row>
    <x:row r="416">
      <x:c r="A416" s="22" t="str">
        <x:f>IF(D416="","","SIG-"&amp;TEXT(ROW()-2,"0000"))</x:f>
      </x:c>
      <x:c r="B416" s="26"/>
      <x:c r="C416" s="22"/>
      <x:c r="D416" s="22"/>
      <x:c r="E416" s="22"/>
      <x:c r="F416" s="22"/>
      <x:c r="G416" s="22"/>
      <x:c r="H416" s="22"/>
      <x:c r="I416" s="22"/>
      <x:c r="J416" s="22"/>
      <x:c r="K416" s="22"/>
      <x:c r="L416" s="22"/>
      <x:c r="M416" s="22"/>
      <x:c r="N416" s="26"/>
      <x:c r="O416" s="22"/>
      <x:c r="P416" s="22" t="str">
        <x:f>IF(OR(B416="",J416="Закрыт"),"",TODAY()-B416)</x:f>
      </x:c>
    </x:row>
    <x:row r="417">
      <x:c r="A417" s="22" t="str">
        <x:f>IF(D417="","","SIG-"&amp;TEXT(ROW()-2,"0000"))</x:f>
      </x:c>
      <x:c r="B417" s="26"/>
      <x:c r="C417" s="22"/>
      <x:c r="D417" s="22"/>
      <x:c r="E417" s="22"/>
      <x:c r="F417" s="22"/>
      <x:c r="G417" s="22"/>
      <x:c r="H417" s="22"/>
      <x:c r="I417" s="22"/>
      <x:c r="J417" s="22"/>
      <x:c r="K417" s="22"/>
      <x:c r="L417" s="22"/>
      <x:c r="M417" s="22"/>
      <x:c r="N417" s="26"/>
      <x:c r="O417" s="22"/>
      <x:c r="P417" s="22" t="str">
        <x:f>IF(OR(B417="",J417="Закрыт"),"",TODAY()-B417)</x:f>
      </x:c>
    </x:row>
    <x:row r="418">
      <x:c r="A418" s="22" t="str">
        <x:f>IF(D418="","","SIG-"&amp;TEXT(ROW()-2,"0000"))</x:f>
      </x:c>
      <x:c r="B418" s="26"/>
      <x:c r="C418" s="22"/>
      <x:c r="D418" s="22"/>
      <x:c r="E418" s="22"/>
      <x:c r="F418" s="22"/>
      <x:c r="G418" s="22"/>
      <x:c r="H418" s="22"/>
      <x:c r="I418" s="22"/>
      <x:c r="J418" s="22"/>
      <x:c r="K418" s="22"/>
      <x:c r="L418" s="22"/>
      <x:c r="M418" s="22"/>
      <x:c r="N418" s="26"/>
      <x:c r="O418" s="22"/>
      <x:c r="P418" s="22" t="str">
        <x:f>IF(OR(B418="",J418="Закрыт"),"",TODAY()-B418)</x:f>
      </x:c>
    </x:row>
    <x:row r="419">
      <x:c r="A419" s="22" t="str">
        <x:f>IF(D419="","","SIG-"&amp;TEXT(ROW()-2,"0000"))</x:f>
      </x:c>
      <x:c r="B419" s="26"/>
      <x:c r="C419" s="22"/>
      <x:c r="D419" s="22"/>
      <x:c r="E419" s="22"/>
      <x:c r="F419" s="22"/>
      <x:c r="G419" s="22"/>
      <x:c r="H419" s="22"/>
      <x:c r="I419" s="22"/>
      <x:c r="J419" s="22"/>
      <x:c r="K419" s="22"/>
      <x:c r="L419" s="22"/>
      <x:c r="M419" s="22"/>
      <x:c r="N419" s="26"/>
      <x:c r="O419" s="22"/>
      <x:c r="P419" s="22" t="str">
        <x:f>IF(OR(B419="",J419="Закрыт"),"",TODAY()-B419)</x:f>
      </x:c>
    </x:row>
    <x:row r="420">
      <x:c r="A420" s="22" t="str">
        <x:f>IF(D420="","","SIG-"&amp;TEXT(ROW()-2,"0000"))</x:f>
      </x:c>
      <x:c r="B420" s="26"/>
      <x:c r="C420" s="22"/>
      <x:c r="D420" s="22"/>
      <x:c r="E420" s="22"/>
      <x:c r="F420" s="22"/>
      <x:c r="G420" s="22"/>
      <x:c r="H420" s="22"/>
      <x:c r="I420" s="22"/>
      <x:c r="J420" s="22"/>
      <x:c r="K420" s="22"/>
      <x:c r="L420" s="22"/>
      <x:c r="M420" s="22"/>
      <x:c r="N420" s="26"/>
      <x:c r="O420" s="22"/>
      <x:c r="P420" s="22" t="str">
        <x:f>IF(OR(B420="",J420="Закрыт"),"",TODAY()-B420)</x:f>
      </x:c>
    </x:row>
    <x:row r="421">
      <x:c r="A421" s="22" t="str">
        <x:f>IF(D421="","","SIG-"&amp;TEXT(ROW()-2,"0000"))</x:f>
      </x:c>
      <x:c r="B421" s="26"/>
      <x:c r="C421" s="22"/>
      <x:c r="D421" s="22"/>
      <x:c r="E421" s="22"/>
      <x:c r="F421" s="22"/>
      <x:c r="G421" s="22"/>
      <x:c r="H421" s="22"/>
      <x:c r="I421" s="22"/>
      <x:c r="J421" s="22"/>
      <x:c r="K421" s="22"/>
      <x:c r="L421" s="22"/>
      <x:c r="M421" s="22"/>
      <x:c r="N421" s="26"/>
      <x:c r="O421" s="22"/>
      <x:c r="P421" s="22" t="str">
        <x:f>IF(OR(B421="",J421="Закрыт"),"",TODAY()-B421)</x:f>
      </x:c>
    </x:row>
    <x:row r="422">
      <x:c r="A422" s="22" t="str">
        <x:f>IF(D422="","","SIG-"&amp;TEXT(ROW()-2,"0000"))</x:f>
      </x:c>
      <x:c r="B422" s="26"/>
      <x:c r="C422" s="22"/>
      <x:c r="D422" s="22"/>
      <x:c r="E422" s="22"/>
      <x:c r="F422" s="22"/>
      <x:c r="G422" s="22"/>
      <x:c r="H422" s="22"/>
      <x:c r="I422" s="22"/>
      <x:c r="J422" s="22"/>
      <x:c r="K422" s="22"/>
      <x:c r="L422" s="22"/>
      <x:c r="M422" s="22"/>
      <x:c r="N422" s="26"/>
      <x:c r="O422" s="22"/>
      <x:c r="P422" s="22" t="str">
        <x:f>IF(OR(B422="",J422="Закрыт"),"",TODAY()-B422)</x:f>
      </x:c>
    </x:row>
    <x:row r="423">
      <x:c r="A423" s="22" t="str">
        <x:f>IF(D423="","","SIG-"&amp;TEXT(ROW()-2,"0000"))</x:f>
      </x:c>
      <x:c r="B423" s="26"/>
      <x:c r="C423" s="22"/>
      <x:c r="D423" s="22"/>
      <x:c r="E423" s="22"/>
      <x:c r="F423" s="22"/>
      <x:c r="G423" s="22"/>
      <x:c r="H423" s="22"/>
      <x:c r="I423" s="22"/>
      <x:c r="J423" s="22"/>
      <x:c r="K423" s="22"/>
      <x:c r="L423" s="22"/>
      <x:c r="M423" s="22"/>
      <x:c r="N423" s="26"/>
      <x:c r="O423" s="22"/>
      <x:c r="P423" s="22" t="str">
        <x:f>IF(OR(B423="",J423="Закрыт"),"",TODAY()-B423)</x:f>
      </x:c>
    </x:row>
    <x:row r="424">
      <x:c r="A424" s="22" t="str">
        <x:f>IF(D424="","","SIG-"&amp;TEXT(ROW()-2,"0000"))</x:f>
      </x:c>
      <x:c r="B424" s="26"/>
      <x:c r="C424" s="22"/>
      <x:c r="D424" s="22"/>
      <x:c r="E424" s="22"/>
      <x:c r="F424" s="22"/>
      <x:c r="G424" s="22"/>
      <x:c r="H424" s="22"/>
      <x:c r="I424" s="22"/>
      <x:c r="J424" s="22"/>
      <x:c r="K424" s="22"/>
      <x:c r="L424" s="22"/>
      <x:c r="M424" s="22"/>
      <x:c r="N424" s="26"/>
      <x:c r="O424" s="22"/>
      <x:c r="P424" s="22" t="str">
        <x:f>IF(OR(B424="",J424="Закрыт"),"",TODAY()-B424)</x:f>
      </x:c>
    </x:row>
    <x:row r="425">
      <x:c r="A425" s="22" t="str">
        <x:f>IF(D425="","","SIG-"&amp;TEXT(ROW()-2,"0000"))</x:f>
      </x:c>
      <x:c r="B425" s="26"/>
      <x:c r="C425" s="22"/>
      <x:c r="D425" s="22"/>
      <x:c r="E425" s="22"/>
      <x:c r="F425" s="22"/>
      <x:c r="G425" s="22"/>
      <x:c r="H425" s="22"/>
      <x:c r="I425" s="22"/>
      <x:c r="J425" s="22"/>
      <x:c r="K425" s="22"/>
      <x:c r="L425" s="22"/>
      <x:c r="M425" s="22"/>
      <x:c r="N425" s="26"/>
      <x:c r="O425" s="22"/>
      <x:c r="P425" s="22" t="str">
        <x:f>IF(OR(B425="",J425="Закрыт"),"",TODAY()-B425)</x:f>
      </x:c>
    </x:row>
    <x:row r="426">
      <x:c r="A426" s="22" t="str">
        <x:f>IF(D426="","","SIG-"&amp;TEXT(ROW()-2,"0000"))</x:f>
      </x:c>
      <x:c r="B426" s="26"/>
      <x:c r="C426" s="22"/>
      <x:c r="D426" s="22"/>
      <x:c r="E426" s="22"/>
      <x:c r="F426" s="22"/>
      <x:c r="G426" s="22"/>
      <x:c r="H426" s="22"/>
      <x:c r="I426" s="22"/>
      <x:c r="J426" s="22"/>
      <x:c r="K426" s="22"/>
      <x:c r="L426" s="22"/>
      <x:c r="M426" s="22"/>
      <x:c r="N426" s="26"/>
      <x:c r="O426" s="22"/>
      <x:c r="P426" s="22" t="str">
        <x:f>IF(OR(B426="",J426="Закрыт"),"",TODAY()-B426)</x:f>
      </x:c>
    </x:row>
    <x:row r="427">
      <x:c r="A427" s="22" t="str">
        <x:f>IF(D427="","","SIG-"&amp;TEXT(ROW()-2,"0000"))</x:f>
      </x:c>
      <x:c r="B427" s="26"/>
      <x:c r="C427" s="22"/>
      <x:c r="D427" s="22"/>
      <x:c r="E427" s="22"/>
      <x:c r="F427" s="22"/>
      <x:c r="G427" s="22"/>
      <x:c r="H427" s="22"/>
      <x:c r="I427" s="22"/>
      <x:c r="J427" s="22"/>
      <x:c r="K427" s="22"/>
      <x:c r="L427" s="22"/>
      <x:c r="M427" s="22"/>
      <x:c r="N427" s="26"/>
      <x:c r="O427" s="22"/>
      <x:c r="P427" s="22" t="str">
        <x:f>IF(OR(B427="",J427="Закрыт"),"",TODAY()-B427)</x:f>
      </x:c>
    </x:row>
    <x:row r="428">
      <x:c r="A428" s="22" t="str">
        <x:f>IF(D428="","","SIG-"&amp;TEXT(ROW()-2,"0000"))</x:f>
      </x:c>
      <x:c r="B428" s="26"/>
      <x:c r="C428" s="22"/>
      <x:c r="D428" s="22"/>
      <x:c r="E428" s="22"/>
      <x:c r="F428" s="22"/>
      <x:c r="G428" s="22"/>
      <x:c r="H428" s="22"/>
      <x:c r="I428" s="22"/>
      <x:c r="J428" s="22"/>
      <x:c r="K428" s="22"/>
      <x:c r="L428" s="22"/>
      <x:c r="M428" s="22"/>
      <x:c r="N428" s="26"/>
      <x:c r="O428" s="22"/>
      <x:c r="P428" s="22" t="str">
        <x:f>IF(OR(B428="",J428="Закрыт"),"",TODAY()-B428)</x:f>
      </x:c>
    </x:row>
    <x:row r="429">
      <x:c r="A429" s="22" t="str">
        <x:f>IF(D429="","","SIG-"&amp;TEXT(ROW()-2,"0000"))</x:f>
      </x:c>
      <x:c r="B429" s="26"/>
      <x:c r="C429" s="22"/>
      <x:c r="D429" s="22"/>
      <x:c r="E429" s="22"/>
      <x:c r="F429" s="22"/>
      <x:c r="G429" s="22"/>
      <x:c r="H429" s="22"/>
      <x:c r="I429" s="22"/>
      <x:c r="J429" s="22"/>
      <x:c r="K429" s="22"/>
      <x:c r="L429" s="22"/>
      <x:c r="M429" s="22"/>
      <x:c r="N429" s="26"/>
      <x:c r="O429" s="22"/>
      <x:c r="P429" s="22" t="str">
        <x:f>IF(OR(B429="",J429="Закрыт"),"",TODAY()-B429)</x:f>
      </x:c>
    </x:row>
    <x:row r="430">
      <x:c r="A430" s="22" t="str">
        <x:f>IF(D430="","","SIG-"&amp;TEXT(ROW()-2,"0000"))</x:f>
      </x:c>
      <x:c r="B430" s="26"/>
      <x:c r="C430" s="22"/>
      <x:c r="D430" s="22"/>
      <x:c r="E430" s="22"/>
      <x:c r="F430" s="22"/>
      <x:c r="G430" s="22"/>
      <x:c r="H430" s="22"/>
      <x:c r="I430" s="22"/>
      <x:c r="J430" s="22"/>
      <x:c r="K430" s="22"/>
      <x:c r="L430" s="22"/>
      <x:c r="M430" s="22"/>
      <x:c r="N430" s="26"/>
      <x:c r="O430" s="22"/>
      <x:c r="P430" s="22" t="str">
        <x:f>IF(OR(B430="",J430="Закрыт"),"",TODAY()-B430)</x:f>
      </x:c>
    </x:row>
    <x:row r="431">
      <x:c r="A431" s="22" t="str">
        <x:f>IF(D431="","","SIG-"&amp;TEXT(ROW()-2,"0000"))</x:f>
      </x:c>
      <x:c r="B431" s="26"/>
      <x:c r="C431" s="22"/>
      <x:c r="D431" s="22"/>
      <x:c r="E431" s="22"/>
      <x:c r="F431" s="22"/>
      <x:c r="G431" s="22"/>
      <x:c r="H431" s="22"/>
      <x:c r="I431" s="22"/>
      <x:c r="J431" s="22"/>
      <x:c r="K431" s="22"/>
      <x:c r="L431" s="22"/>
      <x:c r="M431" s="22"/>
      <x:c r="N431" s="26"/>
      <x:c r="O431" s="22"/>
      <x:c r="P431" s="22" t="str">
        <x:f>IF(OR(B431="",J431="Закрыт"),"",TODAY()-B431)</x:f>
      </x:c>
    </x:row>
    <x:row r="432">
      <x:c r="A432" s="22" t="str">
        <x:f>IF(D432="","","SIG-"&amp;TEXT(ROW()-2,"0000"))</x:f>
      </x:c>
      <x:c r="B432" s="26"/>
      <x:c r="C432" s="22"/>
      <x:c r="D432" s="22"/>
      <x:c r="E432" s="22"/>
      <x:c r="F432" s="22"/>
      <x:c r="G432" s="22"/>
      <x:c r="H432" s="22"/>
      <x:c r="I432" s="22"/>
      <x:c r="J432" s="22"/>
      <x:c r="K432" s="22"/>
      <x:c r="L432" s="22"/>
      <x:c r="M432" s="22"/>
      <x:c r="N432" s="26"/>
      <x:c r="O432" s="22"/>
      <x:c r="P432" s="22" t="str">
        <x:f>IF(OR(B432="",J432="Закрыт"),"",TODAY()-B432)</x:f>
      </x:c>
    </x:row>
    <x:row r="433">
      <x:c r="A433" s="22" t="str">
        <x:f>IF(D433="","","SIG-"&amp;TEXT(ROW()-2,"0000"))</x:f>
      </x:c>
      <x:c r="B433" s="26"/>
      <x:c r="C433" s="22"/>
      <x:c r="D433" s="22"/>
      <x:c r="E433" s="22"/>
      <x:c r="F433" s="22"/>
      <x:c r="G433" s="22"/>
      <x:c r="H433" s="22"/>
      <x:c r="I433" s="22"/>
      <x:c r="J433" s="22"/>
      <x:c r="K433" s="22"/>
      <x:c r="L433" s="22"/>
      <x:c r="M433" s="22"/>
      <x:c r="N433" s="26"/>
      <x:c r="O433" s="22"/>
      <x:c r="P433" s="22" t="str">
        <x:f>IF(OR(B433="",J433="Закрыт"),"",TODAY()-B433)</x:f>
      </x:c>
    </x:row>
    <x:row r="434">
      <x:c r="A434" s="22" t="str">
        <x:f>IF(D434="","","SIG-"&amp;TEXT(ROW()-2,"0000"))</x:f>
      </x:c>
      <x:c r="B434" s="26"/>
      <x:c r="C434" s="22"/>
      <x:c r="D434" s="22"/>
      <x:c r="E434" s="22"/>
      <x:c r="F434" s="22"/>
      <x:c r="G434" s="22"/>
      <x:c r="H434" s="22"/>
      <x:c r="I434" s="22"/>
      <x:c r="J434" s="22"/>
      <x:c r="K434" s="22"/>
      <x:c r="L434" s="22"/>
      <x:c r="M434" s="22"/>
      <x:c r="N434" s="26"/>
      <x:c r="O434" s="22"/>
      <x:c r="P434" s="22" t="str">
        <x:f>IF(OR(B434="",J434="Закрыт"),"",TODAY()-B434)</x:f>
      </x:c>
    </x:row>
    <x:row r="435">
      <x:c r="A435" s="22" t="str">
        <x:f>IF(D435="","","SIG-"&amp;TEXT(ROW()-2,"0000"))</x:f>
      </x:c>
      <x:c r="B435" s="26"/>
      <x:c r="C435" s="22"/>
      <x:c r="D435" s="22"/>
      <x:c r="E435" s="22"/>
      <x:c r="F435" s="22"/>
      <x:c r="G435" s="22"/>
      <x:c r="H435" s="22"/>
      <x:c r="I435" s="22"/>
      <x:c r="J435" s="22"/>
      <x:c r="K435" s="22"/>
      <x:c r="L435" s="22"/>
      <x:c r="M435" s="22"/>
      <x:c r="N435" s="26"/>
      <x:c r="O435" s="22"/>
      <x:c r="P435" s="22" t="str">
        <x:f>IF(OR(B435="",J435="Закрыт"),"",TODAY()-B435)</x:f>
      </x:c>
    </x:row>
    <x:row r="436">
      <x:c r="A436" s="22" t="str">
        <x:f>IF(D436="","","SIG-"&amp;TEXT(ROW()-2,"0000"))</x:f>
      </x:c>
      <x:c r="B436" s="26"/>
      <x:c r="C436" s="22"/>
      <x:c r="D436" s="22"/>
      <x:c r="E436" s="22"/>
      <x:c r="F436" s="22"/>
      <x:c r="G436" s="22"/>
      <x:c r="H436" s="22"/>
      <x:c r="I436" s="22"/>
      <x:c r="J436" s="22"/>
      <x:c r="K436" s="22"/>
      <x:c r="L436" s="22"/>
      <x:c r="M436" s="22"/>
      <x:c r="N436" s="26"/>
      <x:c r="O436" s="22"/>
      <x:c r="P436" s="22" t="str">
        <x:f>IF(OR(B436="",J436="Закрыт"),"",TODAY()-B436)</x:f>
      </x:c>
    </x:row>
    <x:row r="437">
      <x:c r="A437" s="22" t="str">
        <x:f>IF(D437="","","SIG-"&amp;TEXT(ROW()-2,"0000"))</x:f>
      </x:c>
      <x:c r="B437" s="26"/>
      <x:c r="C437" s="22"/>
      <x:c r="D437" s="22"/>
      <x:c r="E437" s="22"/>
      <x:c r="F437" s="22"/>
      <x:c r="G437" s="22"/>
      <x:c r="H437" s="22"/>
      <x:c r="I437" s="22"/>
      <x:c r="J437" s="22"/>
      <x:c r="K437" s="22"/>
      <x:c r="L437" s="22"/>
      <x:c r="M437" s="22"/>
      <x:c r="N437" s="26"/>
      <x:c r="O437" s="22"/>
      <x:c r="P437" s="22" t="str">
        <x:f>IF(OR(B437="",J437="Закрыт"),"",TODAY()-B437)</x:f>
      </x:c>
    </x:row>
    <x:row r="438">
      <x:c r="A438" s="22" t="str">
        <x:f>IF(D438="","","SIG-"&amp;TEXT(ROW()-2,"0000"))</x:f>
      </x:c>
      <x:c r="B438" s="26"/>
      <x:c r="C438" s="22"/>
      <x:c r="D438" s="22"/>
      <x:c r="E438" s="22"/>
      <x:c r="F438" s="22"/>
      <x:c r="G438" s="22"/>
      <x:c r="H438" s="22"/>
      <x:c r="I438" s="22"/>
      <x:c r="J438" s="22"/>
      <x:c r="K438" s="22"/>
      <x:c r="L438" s="22"/>
      <x:c r="M438" s="22"/>
      <x:c r="N438" s="26"/>
      <x:c r="O438" s="22"/>
      <x:c r="P438" s="22" t="str">
        <x:f>IF(OR(B438="",J438="Закрыт"),"",TODAY()-B438)</x:f>
      </x:c>
    </x:row>
    <x:row r="439">
      <x:c r="A439" s="22" t="str">
        <x:f>IF(D439="","","SIG-"&amp;TEXT(ROW()-2,"0000"))</x:f>
      </x:c>
      <x:c r="B439" s="26"/>
      <x:c r="C439" s="22"/>
      <x:c r="D439" s="22"/>
      <x:c r="E439" s="22"/>
      <x:c r="F439" s="22"/>
      <x:c r="G439" s="22"/>
      <x:c r="H439" s="22"/>
      <x:c r="I439" s="22"/>
      <x:c r="J439" s="22"/>
      <x:c r="K439" s="22"/>
      <x:c r="L439" s="22"/>
      <x:c r="M439" s="22"/>
      <x:c r="N439" s="26"/>
      <x:c r="O439" s="22"/>
      <x:c r="P439" s="22" t="str">
        <x:f>IF(OR(B439="",J439="Закрыт"),"",TODAY()-B439)</x:f>
      </x:c>
    </x:row>
    <x:row r="440">
      <x:c r="A440" s="22" t="str">
        <x:f>IF(D440="","","SIG-"&amp;TEXT(ROW()-2,"0000"))</x:f>
      </x:c>
      <x:c r="B440" s="26"/>
      <x:c r="C440" s="22"/>
      <x:c r="D440" s="22"/>
      <x:c r="E440" s="22"/>
      <x:c r="F440" s="22"/>
      <x:c r="G440" s="22"/>
      <x:c r="H440" s="22"/>
      <x:c r="I440" s="22"/>
      <x:c r="J440" s="22"/>
      <x:c r="K440" s="22"/>
      <x:c r="L440" s="22"/>
      <x:c r="M440" s="22"/>
      <x:c r="N440" s="26"/>
      <x:c r="O440" s="22"/>
      <x:c r="P440" s="22" t="str">
        <x:f>IF(OR(B440="",J440="Закрыт"),"",TODAY()-B440)</x:f>
      </x:c>
    </x:row>
    <x:row r="441">
      <x:c r="A441" s="22" t="str">
        <x:f>IF(D441="","","SIG-"&amp;TEXT(ROW()-2,"0000"))</x:f>
      </x:c>
      <x:c r="B441" s="26"/>
      <x:c r="C441" s="22"/>
      <x:c r="D441" s="22"/>
      <x:c r="E441" s="22"/>
      <x:c r="F441" s="22"/>
      <x:c r="G441" s="22"/>
      <x:c r="H441" s="22"/>
      <x:c r="I441" s="22"/>
      <x:c r="J441" s="22"/>
      <x:c r="K441" s="22"/>
      <x:c r="L441" s="22"/>
      <x:c r="M441" s="22"/>
      <x:c r="N441" s="26"/>
      <x:c r="O441" s="22"/>
      <x:c r="P441" s="22" t="str">
        <x:f>IF(OR(B441="",J441="Закрыт"),"",TODAY()-B441)</x:f>
      </x:c>
    </x:row>
    <x:row r="442">
      <x:c r="A442" s="22" t="str">
        <x:f>IF(D442="","","SIG-"&amp;TEXT(ROW()-2,"0000"))</x:f>
      </x:c>
      <x:c r="B442" s="26"/>
      <x:c r="C442" s="22"/>
      <x:c r="D442" s="22"/>
      <x:c r="E442" s="22"/>
      <x:c r="F442" s="22"/>
      <x:c r="G442" s="22"/>
      <x:c r="H442" s="22"/>
      <x:c r="I442" s="22"/>
      <x:c r="J442" s="22"/>
      <x:c r="K442" s="22"/>
      <x:c r="L442" s="22"/>
      <x:c r="M442" s="22"/>
      <x:c r="N442" s="26"/>
      <x:c r="O442" s="22"/>
      <x:c r="P442" s="22" t="str">
        <x:f>IF(OR(B442="",J442="Закрыт"),"",TODAY()-B442)</x:f>
      </x:c>
    </x:row>
    <x:row r="443">
      <x:c r="A443" s="22" t="str">
        <x:f>IF(D443="","","SIG-"&amp;TEXT(ROW()-2,"0000"))</x:f>
      </x:c>
      <x:c r="B443" s="26"/>
      <x:c r="C443" s="22"/>
      <x:c r="D443" s="22"/>
      <x:c r="E443" s="22"/>
      <x:c r="F443" s="22"/>
      <x:c r="G443" s="22"/>
      <x:c r="H443" s="22"/>
      <x:c r="I443" s="22"/>
      <x:c r="J443" s="22"/>
      <x:c r="K443" s="22"/>
      <x:c r="L443" s="22"/>
      <x:c r="M443" s="22"/>
      <x:c r="N443" s="26"/>
      <x:c r="O443" s="22"/>
      <x:c r="P443" s="22" t="str">
        <x:f>IF(OR(B443="",J443="Закрыт"),"",TODAY()-B443)</x:f>
      </x:c>
    </x:row>
    <x:row r="444">
      <x:c r="A444" s="22" t="str">
        <x:f>IF(D444="","","SIG-"&amp;TEXT(ROW()-2,"0000"))</x:f>
      </x:c>
      <x:c r="B444" s="26"/>
      <x:c r="C444" s="22"/>
      <x:c r="D444" s="22"/>
      <x:c r="E444" s="22"/>
      <x:c r="F444" s="22"/>
      <x:c r="G444" s="22"/>
      <x:c r="H444" s="22"/>
      <x:c r="I444" s="22"/>
      <x:c r="J444" s="22"/>
      <x:c r="K444" s="22"/>
      <x:c r="L444" s="22"/>
      <x:c r="M444" s="22"/>
      <x:c r="N444" s="26"/>
      <x:c r="O444" s="22"/>
      <x:c r="P444" s="22" t="str">
        <x:f>IF(OR(B444="",J444="Закрыт"),"",TODAY()-B444)</x:f>
      </x:c>
    </x:row>
    <x:row r="445">
      <x:c r="A445" s="22" t="str">
        <x:f>IF(D445="","","SIG-"&amp;TEXT(ROW()-2,"0000"))</x:f>
      </x:c>
      <x:c r="B445" s="26"/>
      <x:c r="C445" s="22"/>
      <x:c r="D445" s="22"/>
      <x:c r="E445" s="22"/>
      <x:c r="F445" s="22"/>
      <x:c r="G445" s="22"/>
      <x:c r="H445" s="22"/>
      <x:c r="I445" s="22"/>
      <x:c r="J445" s="22"/>
      <x:c r="K445" s="22"/>
      <x:c r="L445" s="22"/>
      <x:c r="M445" s="22"/>
      <x:c r="N445" s="26"/>
      <x:c r="O445" s="22"/>
      <x:c r="P445" s="22" t="str">
        <x:f>IF(OR(B445="",J445="Закрыт"),"",TODAY()-B445)</x:f>
      </x:c>
    </x:row>
    <x:row r="446">
      <x:c r="A446" s="22" t="str">
        <x:f>IF(D446="","","SIG-"&amp;TEXT(ROW()-2,"0000"))</x:f>
      </x:c>
      <x:c r="B446" s="26"/>
      <x:c r="C446" s="22"/>
      <x:c r="D446" s="22"/>
      <x:c r="E446" s="22"/>
      <x:c r="F446" s="22"/>
      <x:c r="G446" s="22"/>
      <x:c r="H446" s="22"/>
      <x:c r="I446" s="22"/>
      <x:c r="J446" s="22"/>
      <x:c r="K446" s="22"/>
      <x:c r="L446" s="22"/>
      <x:c r="M446" s="22"/>
      <x:c r="N446" s="26"/>
      <x:c r="O446" s="22"/>
      <x:c r="P446" s="22" t="str">
        <x:f>IF(OR(B446="",J446="Закрыт"),"",TODAY()-B446)</x:f>
      </x:c>
    </x:row>
    <x:row r="447">
      <x:c r="A447" s="22" t="str">
        <x:f>IF(D447="","","SIG-"&amp;TEXT(ROW()-2,"0000"))</x:f>
      </x:c>
      <x:c r="B447" s="26"/>
      <x:c r="C447" s="22"/>
      <x:c r="D447" s="22"/>
      <x:c r="E447" s="22"/>
      <x:c r="F447" s="22"/>
      <x:c r="G447" s="22"/>
      <x:c r="H447" s="22"/>
      <x:c r="I447" s="22"/>
      <x:c r="J447" s="22"/>
      <x:c r="K447" s="22"/>
      <x:c r="L447" s="22"/>
      <x:c r="M447" s="22"/>
      <x:c r="N447" s="26"/>
      <x:c r="O447" s="22"/>
      <x:c r="P447" s="22" t="str">
        <x:f>IF(OR(B447="",J447="Закрыт"),"",TODAY()-B447)</x:f>
      </x:c>
    </x:row>
    <x:row r="448">
      <x:c r="A448" s="22" t="str">
        <x:f>IF(D448="","","SIG-"&amp;TEXT(ROW()-2,"0000"))</x:f>
      </x:c>
      <x:c r="B448" s="26"/>
      <x:c r="C448" s="22"/>
      <x:c r="D448" s="22"/>
      <x:c r="E448" s="22"/>
      <x:c r="F448" s="22"/>
      <x:c r="G448" s="22"/>
      <x:c r="H448" s="22"/>
      <x:c r="I448" s="22"/>
      <x:c r="J448" s="22"/>
      <x:c r="K448" s="22"/>
      <x:c r="L448" s="22"/>
      <x:c r="M448" s="22"/>
      <x:c r="N448" s="26"/>
      <x:c r="O448" s="22"/>
      <x:c r="P448" s="22" t="str">
        <x:f>IF(OR(B448="",J448="Закрыт"),"",TODAY()-B448)</x:f>
      </x:c>
    </x:row>
    <x:row r="449">
      <x:c r="A449" s="22" t="str">
        <x:f>IF(D449="","","SIG-"&amp;TEXT(ROW()-2,"0000"))</x:f>
      </x:c>
      <x:c r="B449" s="26"/>
      <x:c r="C449" s="22"/>
      <x:c r="D449" s="22"/>
      <x:c r="E449" s="22"/>
      <x:c r="F449" s="22"/>
      <x:c r="G449" s="22"/>
      <x:c r="H449" s="22"/>
      <x:c r="I449" s="22"/>
      <x:c r="J449" s="22"/>
      <x:c r="K449" s="22"/>
      <x:c r="L449" s="22"/>
      <x:c r="M449" s="22"/>
      <x:c r="N449" s="26"/>
      <x:c r="O449" s="22"/>
      <x:c r="P449" s="22" t="str">
        <x:f>IF(OR(B449="",J449="Закрыт"),"",TODAY()-B449)</x:f>
      </x:c>
    </x:row>
    <x:row r="450">
      <x:c r="A450" s="22" t="str">
        <x:f>IF(D450="","","SIG-"&amp;TEXT(ROW()-2,"0000"))</x:f>
      </x:c>
      <x:c r="B450" s="26"/>
      <x:c r="C450" s="22"/>
      <x:c r="D450" s="22"/>
      <x:c r="E450" s="22"/>
      <x:c r="F450" s="22"/>
      <x:c r="G450" s="22"/>
      <x:c r="H450" s="22"/>
      <x:c r="I450" s="22"/>
      <x:c r="J450" s="22"/>
      <x:c r="K450" s="22"/>
      <x:c r="L450" s="22"/>
      <x:c r="M450" s="22"/>
      <x:c r="N450" s="26"/>
      <x:c r="O450" s="22"/>
      <x:c r="P450" s="22" t="str">
        <x:f>IF(OR(B450="",J450="Закрыт"),"",TODAY()-B450)</x:f>
      </x:c>
    </x:row>
    <x:row r="451">
      <x:c r="A451" s="22" t="str">
        <x:f>IF(D451="","","SIG-"&amp;TEXT(ROW()-2,"0000"))</x:f>
      </x:c>
      <x:c r="B451" s="26"/>
      <x:c r="C451" s="22"/>
      <x:c r="D451" s="22"/>
      <x:c r="E451" s="22"/>
      <x:c r="F451" s="22"/>
      <x:c r="G451" s="22"/>
      <x:c r="H451" s="22"/>
      <x:c r="I451" s="22"/>
      <x:c r="J451" s="22"/>
      <x:c r="K451" s="22"/>
      <x:c r="L451" s="22"/>
      <x:c r="M451" s="22"/>
      <x:c r="N451" s="26"/>
      <x:c r="O451" s="22"/>
      <x:c r="P451" s="22" t="str">
        <x:f>IF(OR(B451="",J451="Закрыт"),"",TODAY()-B451)</x:f>
      </x:c>
    </x:row>
    <x:row r="452">
      <x:c r="A452" s="22" t="str">
        <x:f>IF(D452="","","SIG-"&amp;TEXT(ROW()-2,"0000"))</x:f>
      </x:c>
      <x:c r="B452" s="26"/>
      <x:c r="C452" s="22"/>
      <x:c r="D452" s="22"/>
      <x:c r="E452" s="22"/>
      <x:c r="F452" s="22"/>
      <x:c r="G452" s="22"/>
      <x:c r="H452" s="22"/>
      <x:c r="I452" s="22"/>
      <x:c r="J452" s="22"/>
      <x:c r="K452" s="22"/>
      <x:c r="L452" s="22"/>
      <x:c r="M452" s="22"/>
      <x:c r="N452" s="26"/>
      <x:c r="O452" s="22"/>
      <x:c r="P452" s="22" t="str">
        <x:f>IF(OR(B452="",J452="Закрыт"),"",TODAY()-B452)</x:f>
      </x:c>
    </x:row>
    <x:row r="453">
      <x:c r="A453" s="22" t="str">
        <x:f>IF(D453="","","SIG-"&amp;TEXT(ROW()-2,"0000"))</x:f>
      </x:c>
      <x:c r="B453" s="26"/>
      <x:c r="C453" s="22"/>
      <x:c r="D453" s="22"/>
      <x:c r="E453" s="22"/>
      <x:c r="F453" s="22"/>
      <x:c r="G453" s="22"/>
      <x:c r="H453" s="22"/>
      <x:c r="I453" s="22"/>
      <x:c r="J453" s="22"/>
      <x:c r="K453" s="22"/>
      <x:c r="L453" s="22"/>
      <x:c r="M453" s="22"/>
      <x:c r="N453" s="26"/>
      <x:c r="O453" s="22"/>
      <x:c r="P453" s="22" t="str">
        <x:f>IF(OR(B453="",J453="Закрыт"),"",TODAY()-B453)</x:f>
      </x:c>
    </x:row>
    <x:row r="454">
      <x:c r="A454" s="22" t="str">
        <x:f>IF(D454="","","SIG-"&amp;TEXT(ROW()-2,"0000"))</x:f>
      </x:c>
      <x:c r="B454" s="26"/>
      <x:c r="C454" s="22"/>
      <x:c r="D454" s="22"/>
      <x:c r="E454" s="22"/>
      <x:c r="F454" s="22"/>
      <x:c r="G454" s="22"/>
      <x:c r="H454" s="22"/>
      <x:c r="I454" s="22"/>
      <x:c r="J454" s="22"/>
      <x:c r="K454" s="22"/>
      <x:c r="L454" s="22"/>
      <x:c r="M454" s="22"/>
      <x:c r="N454" s="26"/>
      <x:c r="O454" s="22"/>
      <x:c r="P454" s="22" t="str">
        <x:f>IF(OR(B454="",J454="Закрыт"),"",TODAY()-B454)</x:f>
      </x:c>
    </x:row>
    <x:row r="455">
      <x:c r="A455" s="22" t="str">
        <x:f>IF(D455="","","SIG-"&amp;TEXT(ROW()-2,"0000"))</x:f>
      </x:c>
      <x:c r="B455" s="26"/>
      <x:c r="C455" s="22"/>
      <x:c r="D455" s="22"/>
      <x:c r="E455" s="22"/>
      <x:c r="F455" s="22"/>
      <x:c r="G455" s="22"/>
      <x:c r="H455" s="22"/>
      <x:c r="I455" s="22"/>
      <x:c r="J455" s="22"/>
      <x:c r="K455" s="22"/>
      <x:c r="L455" s="22"/>
      <x:c r="M455" s="22"/>
      <x:c r="N455" s="26"/>
      <x:c r="O455" s="22"/>
      <x:c r="P455" s="22" t="str">
        <x:f>IF(OR(B455="",J455="Закрыт"),"",TODAY()-B455)</x:f>
      </x:c>
    </x:row>
    <x:row r="456">
      <x:c r="A456" s="22" t="str">
        <x:f>IF(D456="","","SIG-"&amp;TEXT(ROW()-2,"0000"))</x:f>
      </x:c>
      <x:c r="B456" s="26"/>
      <x:c r="C456" s="22"/>
      <x:c r="D456" s="22"/>
      <x:c r="E456" s="22"/>
      <x:c r="F456" s="22"/>
      <x:c r="G456" s="22"/>
      <x:c r="H456" s="22"/>
      <x:c r="I456" s="22"/>
      <x:c r="J456" s="22"/>
      <x:c r="K456" s="22"/>
      <x:c r="L456" s="22"/>
      <x:c r="M456" s="22"/>
      <x:c r="N456" s="26"/>
      <x:c r="O456" s="22"/>
      <x:c r="P456" s="22" t="str">
        <x:f>IF(OR(B456="",J456="Закрыт"),"",TODAY()-B456)</x:f>
      </x:c>
    </x:row>
    <x:row r="457">
      <x:c r="A457" s="22" t="str">
        <x:f>IF(D457="","","SIG-"&amp;TEXT(ROW()-2,"0000"))</x:f>
      </x:c>
      <x:c r="B457" s="26"/>
      <x:c r="C457" s="22"/>
      <x:c r="D457" s="22"/>
      <x:c r="E457" s="22"/>
      <x:c r="F457" s="22"/>
      <x:c r="G457" s="22"/>
      <x:c r="H457" s="22"/>
      <x:c r="I457" s="22"/>
      <x:c r="J457" s="22"/>
      <x:c r="K457" s="22"/>
      <x:c r="L457" s="22"/>
      <x:c r="M457" s="22"/>
      <x:c r="N457" s="26"/>
      <x:c r="O457" s="22"/>
      <x:c r="P457" s="22" t="str">
        <x:f>IF(OR(B457="",J457="Закрыт"),"",TODAY()-B457)</x:f>
      </x:c>
    </x:row>
    <x:row r="458">
      <x:c r="A458" s="22" t="str">
        <x:f>IF(D458="","","SIG-"&amp;TEXT(ROW()-2,"0000"))</x:f>
      </x:c>
      <x:c r="B458" s="26"/>
      <x:c r="C458" s="22"/>
      <x:c r="D458" s="22"/>
      <x:c r="E458" s="22"/>
      <x:c r="F458" s="22"/>
      <x:c r="G458" s="22"/>
      <x:c r="H458" s="22"/>
      <x:c r="I458" s="22"/>
      <x:c r="J458" s="22"/>
      <x:c r="K458" s="22"/>
      <x:c r="L458" s="22"/>
      <x:c r="M458" s="22"/>
      <x:c r="N458" s="26"/>
      <x:c r="O458" s="22"/>
      <x:c r="P458" s="22" t="str">
        <x:f>IF(OR(B458="",J458="Закрыт"),"",TODAY()-B458)</x:f>
      </x:c>
    </x:row>
    <x:row r="459">
      <x:c r="A459" s="22" t="str">
        <x:f>IF(D459="","","SIG-"&amp;TEXT(ROW()-2,"0000"))</x:f>
      </x:c>
      <x:c r="B459" s="26"/>
      <x:c r="C459" s="22"/>
      <x:c r="D459" s="22"/>
      <x:c r="E459" s="22"/>
      <x:c r="F459" s="22"/>
      <x:c r="G459" s="22"/>
      <x:c r="H459" s="22"/>
      <x:c r="I459" s="22"/>
      <x:c r="J459" s="22"/>
      <x:c r="K459" s="22"/>
      <x:c r="L459" s="22"/>
      <x:c r="M459" s="22"/>
      <x:c r="N459" s="26"/>
      <x:c r="O459" s="22"/>
      <x:c r="P459" s="22" t="str">
        <x:f>IF(OR(B459="",J459="Закрыт"),"",TODAY()-B459)</x:f>
      </x:c>
    </x:row>
    <x:row r="460">
      <x:c r="A460" s="22" t="str">
        <x:f>IF(D460="","","SIG-"&amp;TEXT(ROW()-2,"0000"))</x:f>
      </x:c>
      <x:c r="B460" s="26"/>
      <x:c r="C460" s="22"/>
      <x:c r="D460" s="22"/>
      <x:c r="E460" s="22"/>
      <x:c r="F460" s="22"/>
      <x:c r="G460" s="22"/>
      <x:c r="H460" s="22"/>
      <x:c r="I460" s="22"/>
      <x:c r="J460" s="22"/>
      <x:c r="K460" s="22"/>
      <x:c r="L460" s="22"/>
      <x:c r="M460" s="22"/>
      <x:c r="N460" s="26"/>
      <x:c r="O460" s="22"/>
      <x:c r="P460" s="22" t="str">
        <x:f>IF(OR(B460="",J460="Закрыт"),"",TODAY()-B460)</x:f>
      </x:c>
    </x:row>
    <x:row r="461">
      <x:c r="A461" s="22" t="str">
        <x:f>IF(D461="","","SIG-"&amp;TEXT(ROW()-2,"0000"))</x:f>
      </x:c>
      <x:c r="B461" s="26"/>
      <x:c r="C461" s="22"/>
      <x:c r="D461" s="22"/>
      <x:c r="E461" s="22"/>
      <x:c r="F461" s="22"/>
      <x:c r="G461" s="22"/>
      <x:c r="H461" s="22"/>
      <x:c r="I461" s="22"/>
      <x:c r="J461" s="22"/>
      <x:c r="K461" s="22"/>
      <x:c r="L461" s="22"/>
      <x:c r="M461" s="22"/>
      <x:c r="N461" s="26"/>
      <x:c r="O461" s="22"/>
      <x:c r="P461" s="22" t="str">
        <x:f>IF(OR(B461="",J461="Закрыт"),"",TODAY()-B461)</x:f>
      </x:c>
    </x:row>
    <x:row r="462">
      <x:c r="A462" s="22" t="str">
        <x:f>IF(D462="","","SIG-"&amp;TEXT(ROW()-2,"0000"))</x:f>
      </x:c>
      <x:c r="B462" s="26"/>
      <x:c r="C462" s="22"/>
      <x:c r="D462" s="22"/>
      <x:c r="E462" s="22"/>
      <x:c r="F462" s="22"/>
      <x:c r="G462" s="22"/>
      <x:c r="H462" s="22"/>
      <x:c r="I462" s="22"/>
      <x:c r="J462" s="22"/>
      <x:c r="K462" s="22"/>
      <x:c r="L462" s="22"/>
      <x:c r="M462" s="22"/>
      <x:c r="N462" s="26"/>
      <x:c r="O462" s="22"/>
      <x:c r="P462" s="22" t="str">
        <x:f>IF(OR(B462="",J462="Закрыт"),"",TODAY()-B462)</x:f>
      </x:c>
    </x:row>
    <x:row r="463">
      <x:c r="A463" s="22" t="str">
        <x:f>IF(D463="","","SIG-"&amp;TEXT(ROW()-2,"0000"))</x:f>
      </x:c>
      <x:c r="B463" s="26"/>
      <x:c r="C463" s="22"/>
      <x:c r="D463" s="22"/>
      <x:c r="E463" s="22"/>
      <x:c r="F463" s="22"/>
      <x:c r="G463" s="22"/>
      <x:c r="H463" s="22"/>
      <x:c r="I463" s="22"/>
      <x:c r="J463" s="22"/>
      <x:c r="K463" s="22"/>
      <x:c r="L463" s="22"/>
      <x:c r="M463" s="22"/>
      <x:c r="N463" s="26"/>
      <x:c r="O463" s="22"/>
      <x:c r="P463" s="22" t="str">
        <x:f>IF(OR(B463="",J463="Закрыт"),"",TODAY()-B463)</x:f>
      </x:c>
    </x:row>
    <x:row r="464">
      <x:c r="A464" s="22" t="str">
        <x:f>IF(D464="","","SIG-"&amp;TEXT(ROW()-2,"0000"))</x:f>
      </x:c>
      <x:c r="B464" s="26"/>
      <x:c r="C464" s="22"/>
      <x:c r="D464" s="22"/>
      <x:c r="E464" s="22"/>
      <x:c r="F464" s="22"/>
      <x:c r="G464" s="22"/>
      <x:c r="H464" s="22"/>
      <x:c r="I464" s="22"/>
      <x:c r="J464" s="22"/>
      <x:c r="K464" s="22"/>
      <x:c r="L464" s="22"/>
      <x:c r="M464" s="22"/>
      <x:c r="N464" s="26"/>
      <x:c r="O464" s="22"/>
      <x:c r="P464" s="22" t="str">
        <x:f>IF(OR(B464="",J464="Закрыт"),"",TODAY()-B464)</x:f>
      </x:c>
    </x:row>
    <x:row r="465">
      <x:c r="A465" s="22" t="str">
        <x:f>IF(D465="","","SIG-"&amp;TEXT(ROW()-2,"0000"))</x:f>
      </x:c>
      <x:c r="B465" s="26"/>
      <x:c r="C465" s="22"/>
      <x:c r="D465" s="22"/>
      <x:c r="E465" s="22"/>
      <x:c r="F465" s="22"/>
      <x:c r="G465" s="22"/>
      <x:c r="H465" s="22"/>
      <x:c r="I465" s="22"/>
      <x:c r="J465" s="22"/>
      <x:c r="K465" s="22"/>
      <x:c r="L465" s="22"/>
      <x:c r="M465" s="22"/>
      <x:c r="N465" s="26"/>
      <x:c r="O465" s="22"/>
      <x:c r="P465" s="22" t="str">
        <x:f>IF(OR(B465="",J465="Закрыт"),"",TODAY()-B465)</x:f>
      </x:c>
    </x:row>
    <x:row r="466">
      <x:c r="A466" s="22" t="str">
        <x:f>IF(D466="","","SIG-"&amp;TEXT(ROW()-2,"0000"))</x:f>
      </x:c>
      <x:c r="B466" s="26"/>
      <x:c r="C466" s="22"/>
      <x:c r="D466" s="22"/>
      <x:c r="E466" s="22"/>
      <x:c r="F466" s="22"/>
      <x:c r="G466" s="22"/>
      <x:c r="H466" s="22"/>
      <x:c r="I466" s="22"/>
      <x:c r="J466" s="22"/>
      <x:c r="K466" s="22"/>
      <x:c r="L466" s="22"/>
      <x:c r="M466" s="22"/>
      <x:c r="N466" s="26"/>
      <x:c r="O466" s="22"/>
      <x:c r="P466" s="22" t="str">
        <x:f>IF(OR(B466="",J466="Закрыт"),"",TODAY()-B466)</x:f>
      </x:c>
    </x:row>
    <x:row r="467">
      <x:c r="A467" s="22" t="str">
        <x:f>IF(D467="","","SIG-"&amp;TEXT(ROW()-2,"0000"))</x:f>
      </x:c>
      <x:c r="B467" s="26"/>
      <x:c r="C467" s="22"/>
      <x:c r="D467" s="22"/>
      <x:c r="E467" s="22"/>
      <x:c r="F467" s="22"/>
      <x:c r="G467" s="22"/>
      <x:c r="H467" s="22"/>
      <x:c r="I467" s="22"/>
      <x:c r="J467" s="22"/>
      <x:c r="K467" s="22"/>
      <x:c r="L467" s="22"/>
      <x:c r="M467" s="22"/>
      <x:c r="N467" s="26"/>
      <x:c r="O467" s="22"/>
      <x:c r="P467" s="22" t="str">
        <x:f>IF(OR(B467="",J467="Закрыт"),"",TODAY()-B467)</x:f>
      </x:c>
    </x:row>
    <x:row r="468">
      <x:c r="A468" s="22" t="str">
        <x:f>IF(D468="","","SIG-"&amp;TEXT(ROW()-2,"0000"))</x:f>
      </x:c>
      <x:c r="B468" s="26"/>
      <x:c r="C468" s="22"/>
      <x:c r="D468" s="22"/>
      <x:c r="E468" s="22"/>
      <x:c r="F468" s="22"/>
      <x:c r="G468" s="22"/>
      <x:c r="H468" s="22"/>
      <x:c r="I468" s="22"/>
      <x:c r="J468" s="22"/>
      <x:c r="K468" s="22"/>
      <x:c r="L468" s="22"/>
      <x:c r="M468" s="22"/>
      <x:c r="N468" s="26"/>
      <x:c r="O468" s="22"/>
      <x:c r="P468" s="22" t="str">
        <x:f>IF(OR(B468="",J468="Закрыт"),"",TODAY()-B468)</x:f>
      </x:c>
    </x:row>
    <x:row r="469">
      <x:c r="A469" s="22" t="str">
        <x:f>IF(D469="","","SIG-"&amp;TEXT(ROW()-2,"0000"))</x:f>
      </x:c>
      <x:c r="B469" s="26"/>
      <x:c r="C469" s="22"/>
      <x:c r="D469" s="22"/>
      <x:c r="E469" s="22"/>
      <x:c r="F469" s="22"/>
      <x:c r="G469" s="22"/>
      <x:c r="H469" s="22"/>
      <x:c r="I469" s="22"/>
      <x:c r="J469" s="22"/>
      <x:c r="K469" s="22"/>
      <x:c r="L469" s="22"/>
      <x:c r="M469" s="22"/>
      <x:c r="N469" s="26"/>
      <x:c r="O469" s="22"/>
      <x:c r="P469" s="22" t="str">
        <x:f>IF(OR(B469="",J469="Закрыт"),"",TODAY()-B469)</x:f>
      </x:c>
    </x:row>
    <x:row r="470">
      <x:c r="A470" s="22" t="str">
        <x:f>IF(D470="","","SIG-"&amp;TEXT(ROW()-2,"0000"))</x:f>
      </x:c>
      <x:c r="B470" s="26"/>
      <x:c r="C470" s="22"/>
      <x:c r="D470" s="22"/>
      <x:c r="E470" s="22"/>
      <x:c r="F470" s="22"/>
      <x:c r="G470" s="22"/>
      <x:c r="H470" s="22"/>
      <x:c r="I470" s="22"/>
      <x:c r="J470" s="22"/>
      <x:c r="K470" s="22"/>
      <x:c r="L470" s="22"/>
      <x:c r="M470" s="22"/>
      <x:c r="N470" s="26"/>
      <x:c r="O470" s="22"/>
      <x:c r="P470" s="22" t="str">
        <x:f>IF(OR(B470="",J470="Закрыт"),"",TODAY()-B470)</x:f>
      </x:c>
    </x:row>
    <x:row r="471">
      <x:c r="A471" s="22" t="str">
        <x:f>IF(D471="","","SIG-"&amp;TEXT(ROW()-2,"0000"))</x:f>
      </x:c>
      <x:c r="B471" s="26"/>
      <x:c r="C471" s="22"/>
      <x:c r="D471" s="22"/>
      <x:c r="E471" s="22"/>
      <x:c r="F471" s="22"/>
      <x:c r="G471" s="22"/>
      <x:c r="H471" s="22"/>
      <x:c r="I471" s="22"/>
      <x:c r="J471" s="22"/>
      <x:c r="K471" s="22"/>
      <x:c r="L471" s="22"/>
      <x:c r="M471" s="22"/>
      <x:c r="N471" s="26"/>
      <x:c r="O471" s="22"/>
      <x:c r="P471" s="22" t="str">
        <x:f>IF(OR(B471="",J471="Закрыт"),"",TODAY()-B471)</x:f>
      </x:c>
    </x:row>
    <x:row r="472">
      <x:c r="A472" s="22" t="str">
        <x:f>IF(D472="","","SIG-"&amp;TEXT(ROW()-2,"0000"))</x:f>
      </x:c>
      <x:c r="B472" s="26"/>
      <x:c r="C472" s="22"/>
      <x:c r="D472" s="22"/>
      <x:c r="E472" s="22"/>
      <x:c r="F472" s="22"/>
      <x:c r="G472" s="22"/>
      <x:c r="H472" s="22"/>
      <x:c r="I472" s="22"/>
      <x:c r="J472" s="22"/>
      <x:c r="K472" s="22"/>
      <x:c r="L472" s="22"/>
      <x:c r="M472" s="22"/>
      <x:c r="N472" s="26"/>
      <x:c r="O472" s="22"/>
      <x:c r="P472" s="22" t="str">
        <x:f>IF(OR(B472="",J472="Закрыт"),"",TODAY()-B472)</x:f>
      </x:c>
    </x:row>
    <x:row r="473">
      <x:c r="A473" s="22" t="str">
        <x:f>IF(D473="","","SIG-"&amp;TEXT(ROW()-2,"0000"))</x:f>
      </x:c>
      <x:c r="B473" s="26"/>
      <x:c r="C473" s="22"/>
      <x:c r="D473" s="22"/>
      <x:c r="E473" s="22"/>
      <x:c r="F473" s="22"/>
      <x:c r="G473" s="22"/>
      <x:c r="H473" s="22"/>
      <x:c r="I473" s="22"/>
      <x:c r="J473" s="22"/>
      <x:c r="K473" s="22"/>
      <x:c r="L473" s="22"/>
      <x:c r="M473" s="22"/>
      <x:c r="N473" s="26"/>
      <x:c r="O473" s="22"/>
      <x:c r="P473" s="22" t="str">
        <x:f>IF(OR(B473="",J473="Закрыт"),"",TODAY()-B473)</x:f>
      </x:c>
    </x:row>
    <x:row r="474">
      <x:c r="A474" s="22" t="str">
        <x:f>IF(D474="","","SIG-"&amp;TEXT(ROW()-2,"0000"))</x:f>
      </x:c>
      <x:c r="B474" s="26"/>
      <x:c r="C474" s="22"/>
      <x:c r="D474" s="22"/>
      <x:c r="E474" s="22"/>
      <x:c r="F474" s="22"/>
      <x:c r="G474" s="22"/>
      <x:c r="H474" s="22"/>
      <x:c r="I474" s="22"/>
      <x:c r="J474" s="22"/>
      <x:c r="K474" s="22"/>
      <x:c r="L474" s="22"/>
      <x:c r="M474" s="22"/>
      <x:c r="N474" s="26"/>
      <x:c r="O474" s="22"/>
      <x:c r="P474" s="22" t="str">
        <x:f>IF(OR(B474="",J474="Закрыт"),"",TODAY()-B474)</x:f>
      </x:c>
    </x:row>
    <x:row r="475">
      <x:c r="A475" s="22" t="str">
        <x:f>IF(D475="","","SIG-"&amp;TEXT(ROW()-2,"0000"))</x:f>
      </x:c>
      <x:c r="B475" s="26"/>
      <x:c r="C475" s="22"/>
      <x:c r="D475" s="22"/>
      <x:c r="E475" s="22"/>
      <x:c r="F475" s="22"/>
      <x:c r="G475" s="22"/>
      <x:c r="H475" s="22"/>
      <x:c r="I475" s="22"/>
      <x:c r="J475" s="22"/>
      <x:c r="K475" s="22"/>
      <x:c r="L475" s="22"/>
      <x:c r="M475" s="22"/>
      <x:c r="N475" s="26"/>
      <x:c r="O475" s="22"/>
      <x:c r="P475" s="22" t="str">
        <x:f>IF(OR(B475="",J475="Закрыт"),"",TODAY()-B475)</x:f>
      </x:c>
    </x:row>
    <x:row r="476">
      <x:c r="A476" s="22" t="str">
        <x:f>IF(D476="","","SIG-"&amp;TEXT(ROW()-2,"0000"))</x:f>
      </x:c>
      <x:c r="B476" s="26"/>
      <x:c r="C476" s="22"/>
      <x:c r="D476" s="22"/>
      <x:c r="E476" s="22"/>
      <x:c r="F476" s="22"/>
      <x:c r="G476" s="22"/>
      <x:c r="H476" s="22"/>
      <x:c r="I476" s="22"/>
      <x:c r="J476" s="22"/>
      <x:c r="K476" s="22"/>
      <x:c r="L476" s="22"/>
      <x:c r="M476" s="22"/>
      <x:c r="N476" s="26"/>
      <x:c r="O476" s="22"/>
      <x:c r="P476" s="22" t="str">
        <x:f>IF(OR(B476="",J476="Закрыт"),"",TODAY()-B476)</x:f>
      </x:c>
    </x:row>
    <x:row r="477">
      <x:c r="A477" s="22" t="str">
        <x:f>IF(D477="","","SIG-"&amp;TEXT(ROW()-2,"0000"))</x:f>
      </x:c>
      <x:c r="B477" s="26"/>
      <x:c r="C477" s="22"/>
      <x:c r="D477" s="22"/>
      <x:c r="E477" s="22"/>
      <x:c r="F477" s="22"/>
      <x:c r="G477" s="22"/>
      <x:c r="H477" s="22"/>
      <x:c r="I477" s="22"/>
      <x:c r="J477" s="22"/>
      <x:c r="K477" s="22"/>
      <x:c r="L477" s="22"/>
      <x:c r="M477" s="22"/>
      <x:c r="N477" s="26"/>
      <x:c r="O477" s="22"/>
      <x:c r="P477" s="22" t="str">
        <x:f>IF(OR(B477="",J477="Закрыт"),"",TODAY()-B477)</x:f>
      </x:c>
    </x:row>
    <x:row r="478">
      <x:c r="A478" s="22" t="str">
        <x:f>IF(D478="","","SIG-"&amp;TEXT(ROW()-2,"0000"))</x:f>
      </x:c>
      <x:c r="B478" s="26"/>
      <x:c r="C478" s="22"/>
      <x:c r="D478" s="22"/>
      <x:c r="E478" s="22"/>
      <x:c r="F478" s="22"/>
      <x:c r="G478" s="22"/>
      <x:c r="H478" s="22"/>
      <x:c r="I478" s="22"/>
      <x:c r="J478" s="22"/>
      <x:c r="K478" s="22"/>
      <x:c r="L478" s="22"/>
      <x:c r="M478" s="22"/>
      <x:c r="N478" s="26"/>
      <x:c r="O478" s="22"/>
      <x:c r="P478" s="22" t="str">
        <x:f>IF(OR(B478="",J478="Закрыт"),"",TODAY()-B478)</x:f>
      </x:c>
    </x:row>
    <x:row r="479">
      <x:c r="A479" s="22" t="str">
        <x:f>IF(D479="","","SIG-"&amp;TEXT(ROW()-2,"0000"))</x:f>
      </x:c>
      <x:c r="B479" s="26"/>
      <x:c r="C479" s="22"/>
      <x:c r="D479" s="22"/>
      <x:c r="E479" s="22"/>
      <x:c r="F479" s="22"/>
      <x:c r="G479" s="22"/>
      <x:c r="H479" s="22"/>
      <x:c r="I479" s="22"/>
      <x:c r="J479" s="22"/>
      <x:c r="K479" s="22"/>
      <x:c r="L479" s="22"/>
      <x:c r="M479" s="22"/>
      <x:c r="N479" s="26"/>
      <x:c r="O479" s="22"/>
      <x:c r="P479" s="22" t="str">
        <x:f>IF(OR(B479="",J479="Закрыт"),"",TODAY()-B479)</x:f>
      </x:c>
    </x:row>
    <x:row r="480">
      <x:c r="A480" s="22" t="str">
        <x:f>IF(D480="","","SIG-"&amp;TEXT(ROW()-2,"0000"))</x:f>
      </x:c>
      <x:c r="B480" s="26"/>
      <x:c r="C480" s="22"/>
      <x:c r="D480" s="22"/>
      <x:c r="E480" s="22"/>
      <x:c r="F480" s="22"/>
      <x:c r="G480" s="22"/>
      <x:c r="H480" s="22"/>
      <x:c r="I480" s="22"/>
      <x:c r="J480" s="22"/>
      <x:c r="K480" s="22"/>
      <x:c r="L480" s="22"/>
      <x:c r="M480" s="22"/>
      <x:c r="N480" s="26"/>
      <x:c r="O480" s="22"/>
      <x:c r="P480" s="22" t="str">
        <x:f>IF(OR(B480="",J480="Закрыт"),"",TODAY()-B480)</x:f>
      </x:c>
    </x:row>
    <x:row r="481">
      <x:c r="A481" s="22" t="str">
        <x:f>IF(D481="","","SIG-"&amp;TEXT(ROW()-2,"0000"))</x:f>
      </x:c>
      <x:c r="B481" s="26"/>
      <x:c r="C481" s="22"/>
      <x:c r="D481" s="22"/>
      <x:c r="E481" s="22"/>
      <x:c r="F481" s="22"/>
      <x:c r="G481" s="22"/>
      <x:c r="H481" s="22"/>
      <x:c r="I481" s="22"/>
      <x:c r="J481" s="22"/>
      <x:c r="K481" s="22"/>
      <x:c r="L481" s="22"/>
      <x:c r="M481" s="22"/>
      <x:c r="N481" s="26"/>
      <x:c r="O481" s="22"/>
      <x:c r="P481" s="22" t="str">
        <x:f>IF(OR(B481="",J481="Закрыт"),"",TODAY()-B481)</x:f>
      </x:c>
    </x:row>
    <x:row r="482">
      <x:c r="A482" s="22" t="str">
        <x:f>IF(D482="","","SIG-"&amp;TEXT(ROW()-2,"0000"))</x:f>
      </x:c>
      <x:c r="B482" s="26"/>
      <x:c r="C482" s="22"/>
      <x:c r="D482" s="22"/>
      <x:c r="E482" s="22"/>
      <x:c r="F482" s="22"/>
      <x:c r="G482" s="22"/>
      <x:c r="H482" s="22"/>
      <x:c r="I482" s="22"/>
      <x:c r="J482" s="22"/>
      <x:c r="K482" s="22"/>
      <x:c r="L482" s="22"/>
      <x:c r="M482" s="22"/>
      <x:c r="N482" s="26"/>
      <x:c r="O482" s="22"/>
      <x:c r="P482" s="22" t="str">
        <x:f>IF(OR(B482="",J482="Закрыт"),"",TODAY()-B482)</x:f>
      </x:c>
    </x:row>
    <x:row r="483">
      <x:c r="A483" s="22" t="str">
        <x:f>IF(D483="","","SIG-"&amp;TEXT(ROW()-2,"0000"))</x:f>
      </x:c>
      <x:c r="B483" s="26"/>
      <x:c r="C483" s="22"/>
      <x:c r="D483" s="22"/>
      <x:c r="E483" s="22"/>
      <x:c r="F483" s="22"/>
      <x:c r="G483" s="22"/>
      <x:c r="H483" s="22"/>
      <x:c r="I483" s="22"/>
      <x:c r="J483" s="22"/>
      <x:c r="K483" s="22"/>
      <x:c r="L483" s="22"/>
      <x:c r="M483" s="22"/>
      <x:c r="N483" s="26"/>
      <x:c r="O483" s="22"/>
      <x:c r="P483" s="22" t="str">
        <x:f>IF(OR(B483="",J483="Закрыт"),"",TODAY()-B483)</x:f>
      </x:c>
    </x:row>
    <x:row r="484">
      <x:c r="A484" s="22" t="str">
        <x:f>IF(D484="","","SIG-"&amp;TEXT(ROW()-2,"0000"))</x:f>
      </x:c>
      <x:c r="B484" s="26"/>
      <x:c r="C484" s="22"/>
      <x:c r="D484" s="22"/>
      <x:c r="E484" s="22"/>
      <x:c r="F484" s="22"/>
      <x:c r="G484" s="22"/>
      <x:c r="H484" s="22"/>
      <x:c r="I484" s="22"/>
      <x:c r="J484" s="22"/>
      <x:c r="K484" s="22"/>
      <x:c r="L484" s="22"/>
      <x:c r="M484" s="22"/>
      <x:c r="N484" s="26"/>
      <x:c r="O484" s="22"/>
      <x:c r="P484" s="22" t="str">
        <x:f>IF(OR(B484="",J484="Закрыт"),"",TODAY()-B484)</x:f>
      </x:c>
    </x:row>
    <x:row r="485">
      <x:c r="A485" s="22" t="str">
        <x:f>IF(D485="","","SIG-"&amp;TEXT(ROW()-2,"0000"))</x:f>
      </x:c>
      <x:c r="B485" s="26"/>
      <x:c r="C485" s="22"/>
      <x:c r="D485" s="22"/>
      <x:c r="E485" s="22"/>
      <x:c r="F485" s="22"/>
      <x:c r="G485" s="22"/>
      <x:c r="H485" s="22"/>
      <x:c r="I485" s="22"/>
      <x:c r="J485" s="22"/>
      <x:c r="K485" s="22"/>
      <x:c r="L485" s="22"/>
      <x:c r="M485" s="22"/>
      <x:c r="N485" s="26"/>
      <x:c r="O485" s="22"/>
      <x:c r="P485" s="22" t="str">
        <x:f>IF(OR(B485="",J485="Закрыт"),"",TODAY()-B485)</x:f>
      </x:c>
    </x:row>
    <x:row r="486">
      <x:c r="A486" s="22" t="str">
        <x:f>IF(D486="","","SIG-"&amp;TEXT(ROW()-2,"0000"))</x:f>
      </x:c>
      <x:c r="B486" s="26"/>
      <x:c r="C486" s="22"/>
      <x:c r="D486" s="22"/>
      <x:c r="E486" s="22"/>
      <x:c r="F486" s="22"/>
      <x:c r="G486" s="22"/>
      <x:c r="H486" s="22"/>
      <x:c r="I486" s="22"/>
      <x:c r="J486" s="22"/>
      <x:c r="K486" s="22"/>
      <x:c r="L486" s="22"/>
      <x:c r="M486" s="22"/>
      <x:c r="N486" s="26"/>
      <x:c r="O486" s="22"/>
      <x:c r="P486" s="22" t="str">
        <x:f>IF(OR(B486="",J486="Закрыт"),"",TODAY()-B486)</x:f>
      </x:c>
    </x:row>
    <x:row r="487">
      <x:c r="A487" s="22" t="str">
        <x:f>IF(D487="","","SIG-"&amp;TEXT(ROW()-2,"0000"))</x:f>
      </x:c>
      <x:c r="B487" s="26"/>
      <x:c r="C487" s="22"/>
      <x:c r="D487" s="22"/>
      <x:c r="E487" s="22"/>
      <x:c r="F487" s="22"/>
      <x:c r="G487" s="22"/>
      <x:c r="H487" s="22"/>
      <x:c r="I487" s="22"/>
      <x:c r="J487" s="22"/>
      <x:c r="K487" s="22"/>
      <x:c r="L487" s="22"/>
      <x:c r="M487" s="22"/>
      <x:c r="N487" s="26"/>
      <x:c r="O487" s="22"/>
      <x:c r="P487" s="22" t="str">
        <x:f>IF(OR(B487="",J487="Закрыт"),"",TODAY()-B487)</x:f>
      </x:c>
    </x:row>
    <x:row r="488">
      <x:c r="A488" s="22" t="str">
        <x:f>IF(D488="","","SIG-"&amp;TEXT(ROW()-2,"0000"))</x:f>
      </x:c>
      <x:c r="B488" s="26"/>
      <x:c r="C488" s="22"/>
      <x:c r="D488" s="22"/>
      <x:c r="E488" s="22"/>
      <x:c r="F488" s="22"/>
      <x:c r="G488" s="22"/>
      <x:c r="H488" s="22"/>
      <x:c r="I488" s="22"/>
      <x:c r="J488" s="22"/>
      <x:c r="K488" s="22"/>
      <x:c r="L488" s="22"/>
      <x:c r="M488" s="22"/>
      <x:c r="N488" s="26"/>
      <x:c r="O488" s="22"/>
      <x:c r="P488" s="22" t="str">
        <x:f>IF(OR(B488="",J488="Закрыт"),"",TODAY()-B488)</x:f>
      </x:c>
    </x:row>
    <x:row r="489">
      <x:c r="A489" s="22" t="str">
        <x:f>IF(D489="","","SIG-"&amp;TEXT(ROW()-2,"0000"))</x:f>
      </x:c>
      <x:c r="B489" s="26"/>
      <x:c r="C489" s="22"/>
      <x:c r="D489" s="22"/>
      <x:c r="E489" s="22"/>
      <x:c r="F489" s="22"/>
      <x:c r="G489" s="22"/>
      <x:c r="H489" s="22"/>
      <x:c r="I489" s="22"/>
      <x:c r="J489" s="22"/>
      <x:c r="K489" s="22"/>
      <x:c r="L489" s="22"/>
      <x:c r="M489" s="22"/>
      <x:c r="N489" s="26"/>
      <x:c r="O489" s="22"/>
      <x:c r="P489" s="22" t="str">
        <x:f>IF(OR(B489="",J489="Закрыт"),"",TODAY()-B489)</x:f>
      </x:c>
    </x:row>
    <x:row r="490">
      <x:c r="A490" s="22" t="str">
        <x:f>IF(D490="","","SIG-"&amp;TEXT(ROW()-2,"0000"))</x:f>
      </x:c>
      <x:c r="B490" s="26"/>
      <x:c r="C490" s="22"/>
      <x:c r="D490" s="22"/>
      <x:c r="E490" s="22"/>
      <x:c r="F490" s="22"/>
      <x:c r="G490" s="22"/>
      <x:c r="H490" s="22"/>
      <x:c r="I490" s="22"/>
      <x:c r="J490" s="22"/>
      <x:c r="K490" s="22"/>
      <x:c r="L490" s="22"/>
      <x:c r="M490" s="22"/>
      <x:c r="N490" s="26"/>
      <x:c r="O490" s="22"/>
      <x:c r="P490" s="22" t="str">
        <x:f>IF(OR(B490="",J490="Закрыт"),"",TODAY()-B490)</x:f>
      </x:c>
    </x:row>
    <x:row r="491">
      <x:c r="A491" s="22" t="str">
        <x:f>IF(D491="","","SIG-"&amp;TEXT(ROW()-2,"0000"))</x:f>
      </x:c>
      <x:c r="B491" s="26"/>
      <x:c r="C491" s="22"/>
      <x:c r="D491" s="22"/>
      <x:c r="E491" s="22"/>
      <x:c r="F491" s="22"/>
      <x:c r="G491" s="22"/>
      <x:c r="H491" s="22"/>
      <x:c r="I491" s="22"/>
      <x:c r="J491" s="22"/>
      <x:c r="K491" s="22"/>
      <x:c r="L491" s="22"/>
      <x:c r="M491" s="22"/>
      <x:c r="N491" s="26"/>
      <x:c r="O491" s="22"/>
      <x:c r="P491" s="22" t="str">
        <x:f>IF(OR(B491="",J491="Закрыт"),"",TODAY()-B491)</x:f>
      </x:c>
    </x:row>
    <x:row r="492">
      <x:c r="A492" s="22" t="str">
        <x:f>IF(D492="","","SIG-"&amp;TEXT(ROW()-2,"0000"))</x:f>
      </x:c>
      <x:c r="B492" s="26"/>
      <x:c r="C492" s="22"/>
      <x:c r="D492" s="22"/>
      <x:c r="E492" s="22"/>
      <x:c r="F492" s="22"/>
      <x:c r="G492" s="22"/>
      <x:c r="H492" s="22"/>
      <x:c r="I492" s="22"/>
      <x:c r="J492" s="22"/>
      <x:c r="K492" s="22"/>
      <x:c r="L492" s="22"/>
      <x:c r="M492" s="22"/>
      <x:c r="N492" s="26"/>
      <x:c r="O492" s="22"/>
      <x:c r="P492" s="22" t="str">
        <x:f>IF(OR(B492="",J492="Закрыт"),"",TODAY()-B492)</x:f>
      </x:c>
    </x:row>
    <x:row r="493">
      <x:c r="A493" s="22" t="str">
        <x:f>IF(D493="","","SIG-"&amp;TEXT(ROW()-2,"0000"))</x:f>
      </x:c>
      <x:c r="B493" s="26"/>
      <x:c r="C493" s="22"/>
      <x:c r="D493" s="22"/>
      <x:c r="E493" s="22"/>
      <x:c r="F493" s="22"/>
      <x:c r="G493" s="22"/>
      <x:c r="H493" s="22"/>
      <x:c r="I493" s="22"/>
      <x:c r="J493" s="22"/>
      <x:c r="K493" s="22"/>
      <x:c r="L493" s="22"/>
      <x:c r="M493" s="22"/>
      <x:c r="N493" s="26"/>
      <x:c r="O493" s="22"/>
      <x:c r="P493" s="22" t="str">
        <x:f>IF(OR(B493="",J493="Закрыт"),"",TODAY()-B493)</x:f>
      </x:c>
    </x:row>
    <x:row r="494">
      <x:c r="A494" s="22" t="str">
        <x:f>IF(D494="","","SIG-"&amp;TEXT(ROW()-2,"0000"))</x:f>
      </x:c>
      <x:c r="B494" s="26"/>
      <x:c r="C494" s="22"/>
      <x:c r="D494" s="22"/>
      <x:c r="E494" s="22"/>
      <x:c r="F494" s="22"/>
      <x:c r="G494" s="22"/>
      <x:c r="H494" s="22"/>
      <x:c r="I494" s="22"/>
      <x:c r="J494" s="22"/>
      <x:c r="K494" s="22"/>
      <x:c r="L494" s="22"/>
      <x:c r="M494" s="22"/>
      <x:c r="N494" s="26"/>
      <x:c r="O494" s="22"/>
      <x:c r="P494" s="22" t="str">
        <x:f>IF(OR(B494="",J494="Закрыт"),"",TODAY()-B494)</x:f>
      </x:c>
    </x:row>
    <x:row r="495">
      <x:c r="A495" s="22" t="str">
        <x:f>IF(D495="","","SIG-"&amp;TEXT(ROW()-2,"0000"))</x:f>
      </x:c>
      <x:c r="B495" s="26"/>
      <x:c r="C495" s="22"/>
      <x:c r="D495" s="22"/>
      <x:c r="E495" s="22"/>
      <x:c r="F495" s="22"/>
      <x:c r="G495" s="22"/>
      <x:c r="H495" s="22"/>
      <x:c r="I495" s="22"/>
      <x:c r="J495" s="22"/>
      <x:c r="K495" s="22"/>
      <x:c r="L495" s="22"/>
      <x:c r="M495" s="22"/>
      <x:c r="N495" s="26"/>
      <x:c r="O495" s="22"/>
      <x:c r="P495" s="22" t="str">
        <x:f>IF(OR(B495="",J495="Закрыт"),"",TODAY()-B495)</x:f>
      </x:c>
    </x:row>
    <x:row r="496">
      <x:c r="A496" s="22" t="str">
        <x:f>IF(D496="","","SIG-"&amp;TEXT(ROW()-2,"0000"))</x:f>
      </x:c>
      <x:c r="B496" s="26"/>
      <x:c r="C496" s="22"/>
      <x:c r="D496" s="22"/>
      <x:c r="E496" s="22"/>
      <x:c r="F496" s="22"/>
      <x:c r="G496" s="22"/>
      <x:c r="H496" s="22"/>
      <x:c r="I496" s="22"/>
      <x:c r="J496" s="22"/>
      <x:c r="K496" s="22"/>
      <x:c r="L496" s="22"/>
      <x:c r="M496" s="22"/>
      <x:c r="N496" s="26"/>
      <x:c r="O496" s="22"/>
      <x:c r="P496" s="22" t="str">
        <x:f>IF(OR(B496="",J496="Закрыт"),"",TODAY()-B496)</x:f>
      </x:c>
    </x:row>
    <x:row r="497">
      <x:c r="A497" s="22" t="str">
        <x:f>IF(D497="","","SIG-"&amp;TEXT(ROW()-2,"0000"))</x:f>
      </x:c>
      <x:c r="B497" s="26"/>
      <x:c r="C497" s="22"/>
      <x:c r="D497" s="22"/>
      <x:c r="E497" s="22"/>
      <x:c r="F497" s="22"/>
      <x:c r="G497" s="22"/>
      <x:c r="H497" s="22"/>
      <x:c r="I497" s="22"/>
      <x:c r="J497" s="22"/>
      <x:c r="K497" s="22"/>
      <x:c r="L497" s="22"/>
      <x:c r="M497" s="22"/>
      <x:c r="N497" s="26"/>
      <x:c r="O497" s="22"/>
      <x:c r="P497" s="22" t="str">
        <x:f>IF(OR(B497="",J497="Закрыт"),"",TODAY()-B497)</x:f>
      </x:c>
    </x:row>
    <x:row r="498">
      <x:c r="A498" s="22" t="str">
        <x:f>IF(D498="","","SIG-"&amp;TEXT(ROW()-2,"0000"))</x:f>
      </x:c>
      <x:c r="B498" s="26"/>
      <x:c r="C498" s="22"/>
      <x:c r="D498" s="22"/>
      <x:c r="E498" s="22"/>
      <x:c r="F498" s="22"/>
      <x:c r="G498" s="22"/>
      <x:c r="H498" s="22"/>
      <x:c r="I498" s="22"/>
      <x:c r="J498" s="22"/>
      <x:c r="K498" s="22"/>
      <x:c r="L498" s="22"/>
      <x:c r="M498" s="22"/>
      <x:c r="N498" s="26"/>
      <x:c r="O498" s="22"/>
      <x:c r="P498" s="22" t="str">
        <x:f>IF(OR(B498="",J498="Закрыт"),"",TODAY()-B498)</x:f>
      </x:c>
    </x:row>
    <x:row r="499">
      <x:c r="A499" s="22" t="str">
        <x:f>IF(D499="","","SIG-"&amp;TEXT(ROW()-2,"0000"))</x:f>
      </x:c>
      <x:c r="B499" s="26"/>
      <x:c r="C499" s="22"/>
      <x:c r="D499" s="22"/>
      <x:c r="E499" s="22"/>
      <x:c r="F499" s="22"/>
      <x:c r="G499" s="22"/>
      <x:c r="H499" s="22"/>
      <x:c r="I499" s="22"/>
      <x:c r="J499" s="22"/>
      <x:c r="K499" s="22"/>
      <x:c r="L499" s="22"/>
      <x:c r="M499" s="22"/>
      <x:c r="N499" s="26"/>
      <x:c r="O499" s="22"/>
      <x:c r="P499" s="22" t="str">
        <x:f>IF(OR(B499="",J499="Закрыт"),"",TODAY()-B499)</x:f>
      </x:c>
    </x:row>
    <x:row r="500">
      <x:c r="A500" s="22" t="str">
        <x:f>IF(D500="","","SIG-"&amp;TEXT(ROW()-2,"0000"))</x:f>
      </x:c>
      <x:c r="B500" s="26"/>
      <x:c r="C500" s="22"/>
      <x:c r="D500" s="22"/>
      <x:c r="E500" s="22"/>
      <x:c r="F500" s="22"/>
      <x:c r="G500" s="22"/>
      <x:c r="H500" s="22"/>
      <x:c r="I500" s="22"/>
      <x:c r="J500" s="22"/>
      <x:c r="K500" s="22"/>
      <x:c r="L500" s="22"/>
      <x:c r="M500" s="22"/>
      <x:c r="N500" s="26"/>
      <x:c r="O500" s="22"/>
      <x:c r="P500" s="22" t="str">
        <x:f>IF(OR(B500="",J500="Закрыт"),"",TODAY()-B500)</x:f>
      </x:c>
    </x:row>
    <x:row r="501">
      <x:c r="A501" s="22" t="str">
        <x:f>IF(D501="","","SIG-"&amp;TEXT(ROW()-2,"0000"))</x:f>
      </x:c>
      <x:c r="B501" s="26"/>
      <x:c r="C501" s="22"/>
      <x:c r="D501" s="22"/>
      <x:c r="E501" s="22"/>
      <x:c r="F501" s="22"/>
      <x:c r="G501" s="22"/>
      <x:c r="H501" s="22"/>
      <x:c r="I501" s="22"/>
      <x:c r="J501" s="22"/>
      <x:c r="K501" s="22"/>
      <x:c r="L501" s="22"/>
      <x:c r="M501" s="22"/>
      <x:c r="N501" s="26"/>
      <x:c r="O501" s="22"/>
      <x:c r="P501" s="22" t="str">
        <x:f>IF(OR(B501="",J501="Закрыт"),"",TODAY()-B501)</x:f>
      </x:c>
    </x:row>
    <x:row r="502">
      <x:c r="A502" s="22" t="str">
        <x:f>IF(D502="","","SIG-"&amp;TEXT(ROW()-2,"0000"))</x:f>
      </x:c>
      <x:c r="B502" s="26"/>
      <x:c r="C502" s="22"/>
      <x:c r="D502" s="22"/>
      <x:c r="E502" s="22"/>
      <x:c r="F502" s="22"/>
      <x:c r="G502" s="22"/>
      <x:c r="H502" s="22"/>
      <x:c r="I502" s="22"/>
      <x:c r="J502" s="22"/>
      <x:c r="K502" s="22"/>
      <x:c r="L502" s="22"/>
      <x:c r="M502" s="22"/>
      <x:c r="N502" s="26"/>
      <x:c r="O502" s="22"/>
      <x:c r="P502" s="22" t="str">
        <x:f>IF(OR(B502="",J502="Закрыт"),"",TODAY()-B502)</x:f>
      </x:c>
    </x:row>
  </x:sheetData>
  <x:mergeCells>
    <x:mergeCell ref="A1:P1"/>
  </x:mergeCells>
  <x:conditionalFormatting sqref="J3:J502">
    <x:cfRule type="expression" dxfId="0" priority="1">
      <x:formula>J3="Подтверждён"</x:formula>
    </x:cfRule>
    <x:cfRule type="expression" dxfId="1" priority="2">
      <x:formula>J3="Не подтверждён"</x:formula>
    </x:cfRule>
  </x:conditionalFormatting>
  <x:conditionalFormatting sqref="P3:P502">
    <x:cfRule type="cellIs" dxfId="2" priority="3" operator="greaterThan">
      <x:formula>20</x:formula>
    </x:cfRule>
  </x:conditionalFormatting>
  <x:dataValidations count="4">
    <x:dataValidation type="list" sqref="F3:F502">
      <x:formula1>'Справочники'!$C$2:$C$8</x:formula1>
    </x:dataValidation>
    <x:dataValidation type="list" sqref="H3:H502">
      <x:formula1>'Справочники'!$D$2:$D$6</x:formula1>
    </x:dataValidation>
    <x:dataValidation type="list" sqref="J3:J502">
      <x:formula1>'Справочники'!$A$2:$A$6</x:formula1>
    </x:dataValidation>
    <x:dataValidation type="list" sqref="K3:K502">
      <x:formula1>'Справочники'!$B$2:$B$4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d2d35bd4bb42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4" hidden="0" customWidth="1"/>
    <x:col min="4" max="4" width="9" hidden="0" customWidth="1"/>
    <x:col min="5" max="5" width="16" hidden="0" customWidth="1"/>
    <x:col min="6" max="6" width="18" hidden="0" customWidth="1"/>
    <x:col min="7" max="7" width="34" hidden="0" customWidth="1"/>
    <x:col min="8" max="8" width="34" hidden="0" customWidth="1"/>
    <x:col min="9" max="9" width="22" hidden="0" customWidth="1"/>
    <x:col min="10" max="10" width="12" hidden="0" customWidth="1"/>
    <x:col min="11" max="11" width="22" hidden="0" customWidth="1"/>
    <x:col min="12" max="12" width="14" hidden="0" customWidth="1"/>
    <x:col min="13" max="13" width="14" hidden="0" customWidth="1"/>
    <x:col min="14" max="14" width="12" hidden="0" customWidth="1"/>
    <x:col min="15" max="15" width="15" hidden="0" customWidth="1"/>
    <x:col min="16" max="16" width="15" hidden="0" customWidth="1"/>
    <x:col min="17" max="17" width="12" hidden="0" customWidth="1"/>
    <x:col min="18" max="18" width="14" hidden="0" customWidth="1"/>
    <x:col min="19" max="19" width="16" hidden="0" customWidth="1"/>
    <x:col min="20" max="20" width="30" hidden="0" customWidth="1"/>
    <x:col min="21" max="21" width="13" hidden="0" customWidth="1"/>
  </x:cols>
  <x:sheetData>
    <x:row r="1" ht="30" customHeight="1">
      <x:c r="A1" s="16" t="str">
        <x:v>МАРШРУТЫ: индивидуальное и командное сопровождение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</x:row>
    <x:row r="2" ht="32" customHeight="1">
      <x:c r="A2" s="6" t="str">
        <x:v>ID маршрута</x:v>
      </x:c>
      <x:c r="B2" s="6" t="str">
        <x:v>ID ученика</x:v>
      </x:c>
      <x:c r="C2" s="6" t="str">
        <x:v>Ф.И.О.</x:v>
      </x:c>
      <x:c r="D2" s="6" t="str">
        <x:v>Класс</x:v>
      </x:c>
      <x:c r="E2" s="6" t="str">
        <x:v>Направление</x:v>
      </x:c>
      <x:c r="F2" s="6" t="str">
        <x:v>Уровень</x:v>
      </x:c>
      <x:c r="G2" s="6" t="str">
        <x:v>Цель развития</x:v>
      </x:c>
      <x:c r="H2" s="6" t="str">
        <x:v>Продукт / аудитория</x:v>
      </x:c>
      <x:c r="I2" s="6" t="str">
        <x:v>Наставник</x:v>
      </x:c>
      <x:c r="J2" s="6" t="str">
        <x:v>Дата старта</x:v>
      </x:c>
      <x:c r="K2" s="6" t="str">
        <x:v>Статус</x:v>
      </x:c>
      <x:c r="L2" s="6" t="str">
        <x:v>Плановая дата завершения</x:v>
      </x:c>
      <x:c r="M2" s="6" t="str">
        <x:v>Фактическая дата завершения</x:v>
      </x:c>
      <x:c r="N2" s="6" t="str">
        <x:v>Прогресс, %</x:v>
      </x:c>
      <x:c r="O2" s="6" t="str">
        <x:v>Последняя контрольная точка</x:v>
      </x:c>
      <x:c r="P2" s="6" t="str">
        <x:v>Следующая контрольная точка</x:v>
      </x:c>
      <x:c r="Q2" s="6" t="str">
        <x:v>Нагрузка, ч/нед</x:v>
      </x:c>
      <x:c r="R2" s="6" t="str">
        <x:v>Декларация ИИ</x:v>
      </x:c>
      <x:c r="S2" s="6" t="str">
        <x:v>Публикация согласована</x:v>
      </x:c>
      <x:c r="T2" s="6" t="str">
        <x:v>Ссылка / примечание</x:v>
      </x:c>
      <x:c r="U2" s="6" t="str">
        <x:v>Дней до/после точки</x:v>
      </x:c>
    </x:row>
    <x:row r="3">
      <x:c r="A3" s="22" t="str">
        <x:f>IF(C3="","","RTE-"&amp;TEXT(ROW()-2,"0000"))</x:f>
      </x:c>
      <x:c r="B3" s="22"/>
      <x:c r="C3" s="22"/>
      <x:c r="D3" s="22"/>
      <x:c r="E3" s="22"/>
      <x:c r="F3" s="22"/>
      <x:c r="G3" s="22"/>
      <x:c r="H3" s="22"/>
      <x:c r="I3" s="22"/>
      <x:c r="J3" s="26"/>
      <x:c r="K3" s="22"/>
      <x:c r="L3" s="26"/>
      <x:c r="M3" s="26"/>
      <x:c r="N3" s="28"/>
      <x:c r="O3" s="26"/>
      <x:c r="P3" s="26"/>
      <x:c r="Q3" s="22"/>
      <x:c r="R3" s="22"/>
      <x:c r="S3" s="22"/>
      <x:c r="T3" s="22"/>
      <x:c r="U3" s="22" t="str">
        <x:f>IF(OR(P3="",K3="Завершён",K3="Закрыт без продукта"),"",P3-TODAY())</x:f>
      </x:c>
    </x:row>
    <x:row r="4">
      <x:c r="A4" s="22" t="str">
        <x:f>IF(C4="","","RTE-"&amp;TEXT(ROW()-2,"0000"))</x:f>
      </x:c>
      <x:c r="B4" s="22"/>
      <x:c r="C4" s="22"/>
      <x:c r="D4" s="22"/>
      <x:c r="E4" s="22"/>
      <x:c r="F4" s="22"/>
      <x:c r="G4" s="22"/>
      <x:c r="H4" s="22"/>
      <x:c r="I4" s="22"/>
      <x:c r="J4" s="26"/>
      <x:c r="K4" s="22"/>
      <x:c r="L4" s="26"/>
      <x:c r="M4" s="26"/>
      <x:c r="N4" s="28"/>
      <x:c r="O4" s="26"/>
      <x:c r="P4" s="26"/>
      <x:c r="Q4" s="22"/>
      <x:c r="R4" s="22"/>
      <x:c r="S4" s="22"/>
      <x:c r="T4" s="22"/>
      <x:c r="U4" s="22" t="str">
        <x:f>IF(OR(P4="",K4="Завершён",K4="Закрыт без продукта"),"",P4-TODAY())</x:f>
      </x:c>
    </x:row>
    <x:row r="5">
      <x:c r="A5" s="22" t="str">
        <x:f>IF(C5="","","RTE-"&amp;TEXT(ROW()-2,"0000"))</x:f>
      </x:c>
      <x:c r="B5" s="22"/>
      <x:c r="C5" s="22"/>
      <x:c r="D5" s="22"/>
      <x:c r="E5" s="22"/>
      <x:c r="F5" s="22"/>
      <x:c r="G5" s="22"/>
      <x:c r="H5" s="22"/>
      <x:c r="I5" s="22"/>
      <x:c r="J5" s="26"/>
      <x:c r="K5" s="22"/>
      <x:c r="L5" s="26"/>
      <x:c r="M5" s="26"/>
      <x:c r="N5" s="28"/>
      <x:c r="O5" s="26"/>
      <x:c r="P5" s="26"/>
      <x:c r="Q5" s="22"/>
      <x:c r="R5" s="22"/>
      <x:c r="S5" s="22"/>
      <x:c r="T5" s="22"/>
      <x:c r="U5" s="22" t="str">
        <x:f>IF(OR(P5="",K5="Завершён",K5="Закрыт без продукта"),"",P5-TODAY())</x:f>
      </x:c>
    </x:row>
    <x:row r="6">
      <x:c r="A6" s="22" t="str">
        <x:f>IF(C6="","","RTE-"&amp;TEXT(ROW()-2,"0000"))</x:f>
      </x:c>
      <x:c r="B6" s="22"/>
      <x:c r="C6" s="22"/>
      <x:c r="D6" s="22"/>
      <x:c r="E6" s="22"/>
      <x:c r="F6" s="22"/>
      <x:c r="G6" s="22"/>
      <x:c r="H6" s="22"/>
      <x:c r="I6" s="22"/>
      <x:c r="J6" s="26"/>
      <x:c r="K6" s="22"/>
      <x:c r="L6" s="26"/>
      <x:c r="M6" s="26"/>
      <x:c r="N6" s="28"/>
      <x:c r="O6" s="26"/>
      <x:c r="P6" s="26"/>
      <x:c r="Q6" s="22"/>
      <x:c r="R6" s="22"/>
      <x:c r="S6" s="22"/>
      <x:c r="T6" s="22"/>
      <x:c r="U6" s="22" t="str">
        <x:f>IF(OR(P6="",K6="Завершён",K6="Закрыт без продукта"),"",P6-TODAY())</x:f>
      </x:c>
    </x:row>
    <x:row r="7">
      <x:c r="A7" s="22" t="str">
        <x:f>IF(C7="","","RTE-"&amp;TEXT(ROW()-2,"0000"))</x:f>
      </x:c>
      <x:c r="B7" s="22"/>
      <x:c r="C7" s="22"/>
      <x:c r="D7" s="22"/>
      <x:c r="E7" s="22"/>
      <x:c r="F7" s="22"/>
      <x:c r="G7" s="22"/>
      <x:c r="H7" s="22"/>
      <x:c r="I7" s="22"/>
      <x:c r="J7" s="26"/>
      <x:c r="K7" s="22"/>
      <x:c r="L7" s="26"/>
      <x:c r="M7" s="26"/>
      <x:c r="N7" s="28"/>
      <x:c r="O7" s="26"/>
      <x:c r="P7" s="26"/>
      <x:c r="Q7" s="22"/>
      <x:c r="R7" s="22"/>
      <x:c r="S7" s="22"/>
      <x:c r="T7" s="22"/>
      <x:c r="U7" s="22" t="str">
        <x:f>IF(OR(P7="",K7="Завершён",K7="Закрыт без продукта"),"",P7-TODAY())</x:f>
      </x:c>
    </x:row>
    <x:row r="8">
      <x:c r="A8" s="22" t="str">
        <x:f>IF(C8="","","RTE-"&amp;TEXT(ROW()-2,"0000"))</x:f>
      </x:c>
      <x:c r="B8" s="22"/>
      <x:c r="C8" s="22"/>
      <x:c r="D8" s="22"/>
      <x:c r="E8" s="22"/>
      <x:c r="F8" s="22"/>
      <x:c r="G8" s="22"/>
      <x:c r="H8" s="22"/>
      <x:c r="I8" s="22"/>
      <x:c r="J8" s="26"/>
      <x:c r="K8" s="22"/>
      <x:c r="L8" s="26"/>
      <x:c r="M8" s="26"/>
      <x:c r="N8" s="28"/>
      <x:c r="O8" s="26"/>
      <x:c r="P8" s="26"/>
      <x:c r="Q8" s="22"/>
      <x:c r="R8" s="22"/>
      <x:c r="S8" s="22"/>
      <x:c r="T8" s="22"/>
      <x:c r="U8" s="22" t="str">
        <x:f>IF(OR(P8="",K8="Завершён",K8="Закрыт без продукта"),"",P8-TODAY())</x:f>
      </x:c>
    </x:row>
    <x:row r="9">
      <x:c r="A9" s="22" t="str">
        <x:f>IF(C9="","","RTE-"&amp;TEXT(ROW()-2,"0000"))</x:f>
      </x:c>
      <x:c r="B9" s="22"/>
      <x:c r="C9" s="22"/>
      <x:c r="D9" s="22"/>
      <x:c r="E9" s="22"/>
      <x:c r="F9" s="22"/>
      <x:c r="G9" s="22"/>
      <x:c r="H9" s="22"/>
      <x:c r="I9" s="22"/>
      <x:c r="J9" s="26"/>
      <x:c r="K9" s="22"/>
      <x:c r="L9" s="26"/>
      <x:c r="M9" s="26"/>
      <x:c r="N9" s="28"/>
      <x:c r="O9" s="26"/>
      <x:c r="P9" s="26"/>
      <x:c r="Q9" s="22"/>
      <x:c r="R9" s="22"/>
      <x:c r="S9" s="22"/>
      <x:c r="T9" s="22"/>
      <x:c r="U9" s="22" t="str">
        <x:f>IF(OR(P9="",K9="Завершён",K9="Закрыт без продукта"),"",P9-TODAY())</x:f>
      </x:c>
    </x:row>
    <x:row r="10">
      <x:c r="A10" s="22" t="str">
        <x:f>IF(C10="","","RTE-"&amp;TEXT(ROW()-2,"0000"))</x:f>
      </x:c>
      <x:c r="B10" s="22"/>
      <x:c r="C10" s="22"/>
      <x:c r="D10" s="22"/>
      <x:c r="E10" s="22"/>
      <x:c r="F10" s="22"/>
      <x:c r="G10" s="22"/>
      <x:c r="H10" s="22"/>
      <x:c r="I10" s="22"/>
      <x:c r="J10" s="26"/>
      <x:c r="K10" s="22"/>
      <x:c r="L10" s="26"/>
      <x:c r="M10" s="26"/>
      <x:c r="N10" s="28"/>
      <x:c r="O10" s="26"/>
      <x:c r="P10" s="26"/>
      <x:c r="Q10" s="22"/>
      <x:c r="R10" s="22"/>
      <x:c r="S10" s="22"/>
      <x:c r="T10" s="22"/>
      <x:c r="U10" s="22" t="str">
        <x:f>IF(OR(P10="",K10="Завершён",K10="Закрыт без продукта"),"",P10-TODAY())</x:f>
      </x:c>
    </x:row>
    <x:row r="11">
      <x:c r="A11" s="22" t="str">
        <x:f>IF(C11="","","RTE-"&amp;TEXT(ROW()-2,"0000"))</x:f>
      </x:c>
      <x:c r="B11" s="22"/>
      <x:c r="C11" s="22"/>
      <x:c r="D11" s="22"/>
      <x:c r="E11" s="22"/>
      <x:c r="F11" s="22"/>
      <x:c r="G11" s="22"/>
      <x:c r="H11" s="22"/>
      <x:c r="I11" s="22"/>
      <x:c r="J11" s="26"/>
      <x:c r="K11" s="22"/>
      <x:c r="L11" s="26"/>
      <x:c r="M11" s="26"/>
      <x:c r="N11" s="28"/>
      <x:c r="O11" s="26"/>
      <x:c r="P11" s="26"/>
      <x:c r="Q11" s="22"/>
      <x:c r="R11" s="22"/>
      <x:c r="S11" s="22"/>
      <x:c r="T11" s="22"/>
      <x:c r="U11" s="22" t="str">
        <x:f>IF(OR(P11="",K11="Завершён",K11="Закрыт без продукта"),"",P11-TODAY())</x:f>
      </x:c>
    </x:row>
    <x:row r="12">
      <x:c r="A12" s="22" t="str">
        <x:f>IF(C12="","","RTE-"&amp;TEXT(ROW()-2,"0000"))</x:f>
      </x:c>
      <x:c r="B12" s="22"/>
      <x:c r="C12" s="22"/>
      <x:c r="D12" s="22"/>
      <x:c r="E12" s="22"/>
      <x:c r="F12" s="22"/>
      <x:c r="G12" s="22"/>
      <x:c r="H12" s="22"/>
      <x:c r="I12" s="22"/>
      <x:c r="J12" s="26"/>
      <x:c r="K12" s="22"/>
      <x:c r="L12" s="26"/>
      <x:c r="M12" s="26"/>
      <x:c r="N12" s="28"/>
      <x:c r="O12" s="26"/>
      <x:c r="P12" s="26"/>
      <x:c r="Q12" s="22"/>
      <x:c r="R12" s="22"/>
      <x:c r="S12" s="22"/>
      <x:c r="T12" s="22"/>
      <x:c r="U12" s="22" t="str">
        <x:f>IF(OR(P12="",K12="Завершён",K12="Закрыт без продукта"),"",P12-TODAY())</x:f>
      </x:c>
    </x:row>
    <x:row r="13">
      <x:c r="A13" s="22" t="str">
        <x:f>IF(C13="","","RTE-"&amp;TEXT(ROW()-2,"0000"))</x:f>
      </x:c>
      <x:c r="B13" s="22"/>
      <x:c r="C13" s="22"/>
      <x:c r="D13" s="22"/>
      <x:c r="E13" s="22"/>
      <x:c r="F13" s="22"/>
      <x:c r="G13" s="22"/>
      <x:c r="H13" s="22"/>
      <x:c r="I13" s="22"/>
      <x:c r="J13" s="26"/>
      <x:c r="K13" s="22"/>
      <x:c r="L13" s="26"/>
      <x:c r="M13" s="26"/>
      <x:c r="N13" s="28"/>
      <x:c r="O13" s="26"/>
      <x:c r="P13" s="26"/>
      <x:c r="Q13" s="22"/>
      <x:c r="R13" s="22"/>
      <x:c r="S13" s="22"/>
      <x:c r="T13" s="22"/>
      <x:c r="U13" s="22" t="str">
        <x:f>IF(OR(P13="",K13="Завершён",K13="Закрыт без продукта"),"",P13-TODAY())</x:f>
      </x:c>
    </x:row>
    <x:row r="14">
      <x:c r="A14" s="22" t="str">
        <x:f>IF(C14="","","RTE-"&amp;TEXT(ROW()-2,"0000"))</x:f>
      </x:c>
      <x:c r="B14" s="22"/>
      <x:c r="C14" s="22"/>
      <x:c r="D14" s="22"/>
      <x:c r="E14" s="22"/>
      <x:c r="F14" s="22"/>
      <x:c r="G14" s="22"/>
      <x:c r="H14" s="22"/>
      <x:c r="I14" s="22"/>
      <x:c r="J14" s="26"/>
      <x:c r="K14" s="22"/>
      <x:c r="L14" s="26"/>
      <x:c r="M14" s="26"/>
      <x:c r="N14" s="28"/>
      <x:c r="O14" s="26"/>
      <x:c r="P14" s="26"/>
      <x:c r="Q14" s="22"/>
      <x:c r="R14" s="22"/>
      <x:c r="S14" s="22"/>
      <x:c r="T14" s="22"/>
      <x:c r="U14" s="22" t="str">
        <x:f>IF(OR(P14="",K14="Завершён",K14="Закрыт без продукта"),"",P14-TODAY())</x:f>
      </x:c>
    </x:row>
    <x:row r="15">
      <x:c r="A15" s="22" t="str">
        <x:f>IF(C15="","","RTE-"&amp;TEXT(ROW()-2,"0000"))</x:f>
      </x:c>
      <x:c r="B15" s="22"/>
      <x:c r="C15" s="22"/>
      <x:c r="D15" s="22"/>
      <x:c r="E15" s="22"/>
      <x:c r="F15" s="22"/>
      <x:c r="G15" s="22"/>
      <x:c r="H15" s="22"/>
      <x:c r="I15" s="22"/>
      <x:c r="J15" s="26"/>
      <x:c r="K15" s="22"/>
      <x:c r="L15" s="26"/>
      <x:c r="M15" s="26"/>
      <x:c r="N15" s="28"/>
      <x:c r="O15" s="26"/>
      <x:c r="P15" s="26"/>
      <x:c r="Q15" s="22"/>
      <x:c r="R15" s="22"/>
      <x:c r="S15" s="22"/>
      <x:c r="T15" s="22"/>
      <x:c r="U15" s="22" t="str">
        <x:f>IF(OR(P15="",K15="Завершён",K15="Закрыт без продукта"),"",P15-TODAY())</x:f>
      </x:c>
    </x:row>
    <x:row r="16">
      <x:c r="A16" s="22" t="str">
        <x:f>IF(C16="","","RTE-"&amp;TEXT(ROW()-2,"0000"))</x:f>
      </x:c>
      <x:c r="B16" s="22"/>
      <x:c r="C16" s="22"/>
      <x:c r="D16" s="22"/>
      <x:c r="E16" s="22"/>
      <x:c r="F16" s="22"/>
      <x:c r="G16" s="22"/>
      <x:c r="H16" s="22"/>
      <x:c r="I16" s="22"/>
      <x:c r="J16" s="26"/>
      <x:c r="K16" s="22"/>
      <x:c r="L16" s="26"/>
      <x:c r="M16" s="26"/>
      <x:c r="N16" s="28"/>
      <x:c r="O16" s="26"/>
      <x:c r="P16" s="26"/>
      <x:c r="Q16" s="22"/>
      <x:c r="R16" s="22"/>
      <x:c r="S16" s="22"/>
      <x:c r="T16" s="22"/>
      <x:c r="U16" s="22" t="str">
        <x:f>IF(OR(P16="",K16="Завершён",K16="Закрыт без продукта"),"",P16-TODAY())</x:f>
      </x:c>
    </x:row>
    <x:row r="17">
      <x:c r="A17" s="22" t="str">
        <x:f>IF(C17="","","RTE-"&amp;TEXT(ROW()-2,"0000"))</x:f>
      </x:c>
      <x:c r="B17" s="22"/>
      <x:c r="C17" s="22"/>
      <x:c r="D17" s="22"/>
      <x:c r="E17" s="22"/>
      <x:c r="F17" s="22"/>
      <x:c r="G17" s="22"/>
      <x:c r="H17" s="22"/>
      <x:c r="I17" s="22"/>
      <x:c r="J17" s="26"/>
      <x:c r="K17" s="22"/>
      <x:c r="L17" s="26"/>
      <x:c r="M17" s="26"/>
      <x:c r="N17" s="28"/>
      <x:c r="O17" s="26"/>
      <x:c r="P17" s="26"/>
      <x:c r="Q17" s="22"/>
      <x:c r="R17" s="22"/>
      <x:c r="S17" s="22"/>
      <x:c r="T17" s="22"/>
      <x:c r="U17" s="22" t="str">
        <x:f>IF(OR(P17="",K17="Завершён",K17="Закрыт без продукта"),"",P17-TODAY())</x:f>
      </x:c>
    </x:row>
    <x:row r="18">
      <x:c r="A18" s="22" t="str">
        <x:f>IF(C18="","","RTE-"&amp;TEXT(ROW()-2,"0000"))</x:f>
      </x:c>
      <x:c r="B18" s="22"/>
      <x:c r="C18" s="22"/>
      <x:c r="D18" s="22"/>
      <x:c r="E18" s="22"/>
      <x:c r="F18" s="22"/>
      <x:c r="G18" s="22"/>
      <x:c r="H18" s="22"/>
      <x:c r="I18" s="22"/>
      <x:c r="J18" s="26"/>
      <x:c r="K18" s="22"/>
      <x:c r="L18" s="26"/>
      <x:c r="M18" s="26"/>
      <x:c r="N18" s="28"/>
      <x:c r="O18" s="26"/>
      <x:c r="P18" s="26"/>
      <x:c r="Q18" s="22"/>
      <x:c r="R18" s="22"/>
      <x:c r="S18" s="22"/>
      <x:c r="T18" s="22"/>
      <x:c r="U18" s="22" t="str">
        <x:f>IF(OR(P18="",K18="Завершён",K18="Закрыт без продукта"),"",P18-TODAY())</x:f>
      </x:c>
    </x:row>
    <x:row r="19">
      <x:c r="A19" s="22" t="str">
        <x:f>IF(C19="","","RTE-"&amp;TEXT(ROW()-2,"0000"))</x:f>
      </x:c>
      <x:c r="B19" s="22"/>
      <x:c r="C19" s="22"/>
      <x:c r="D19" s="22"/>
      <x:c r="E19" s="22"/>
      <x:c r="F19" s="22"/>
      <x:c r="G19" s="22"/>
      <x:c r="H19" s="22"/>
      <x:c r="I19" s="22"/>
      <x:c r="J19" s="26"/>
      <x:c r="K19" s="22"/>
      <x:c r="L19" s="26"/>
      <x:c r="M19" s="26"/>
      <x:c r="N19" s="28"/>
      <x:c r="O19" s="26"/>
      <x:c r="P19" s="26"/>
      <x:c r="Q19" s="22"/>
      <x:c r="R19" s="22"/>
      <x:c r="S19" s="22"/>
      <x:c r="T19" s="22"/>
      <x:c r="U19" s="22" t="str">
        <x:f>IF(OR(P19="",K19="Завершён",K19="Закрыт без продукта"),"",P19-TODAY())</x:f>
      </x:c>
    </x:row>
    <x:row r="20">
      <x:c r="A20" s="22" t="str">
        <x:f>IF(C20="","","RTE-"&amp;TEXT(ROW()-2,"0000"))</x:f>
      </x:c>
      <x:c r="B20" s="22"/>
      <x:c r="C20" s="22"/>
      <x:c r="D20" s="22"/>
      <x:c r="E20" s="22"/>
      <x:c r="F20" s="22"/>
      <x:c r="G20" s="22"/>
      <x:c r="H20" s="22"/>
      <x:c r="I20" s="22"/>
      <x:c r="J20" s="26"/>
      <x:c r="K20" s="22"/>
      <x:c r="L20" s="26"/>
      <x:c r="M20" s="26"/>
      <x:c r="N20" s="28"/>
      <x:c r="O20" s="26"/>
      <x:c r="P20" s="26"/>
      <x:c r="Q20" s="22"/>
      <x:c r="R20" s="22"/>
      <x:c r="S20" s="22"/>
      <x:c r="T20" s="22"/>
      <x:c r="U20" s="22" t="str">
        <x:f>IF(OR(P20="",K20="Завершён",K20="Закрыт без продукта"),"",P20-TODAY())</x:f>
      </x:c>
    </x:row>
    <x:row r="21">
      <x:c r="A21" s="22" t="str">
        <x:f>IF(C21="","","RTE-"&amp;TEXT(ROW()-2,"0000"))</x:f>
      </x:c>
      <x:c r="B21" s="22"/>
      <x:c r="C21" s="22"/>
      <x:c r="D21" s="22"/>
      <x:c r="E21" s="22"/>
      <x:c r="F21" s="22"/>
      <x:c r="G21" s="22"/>
      <x:c r="H21" s="22"/>
      <x:c r="I21" s="22"/>
      <x:c r="J21" s="26"/>
      <x:c r="K21" s="22"/>
      <x:c r="L21" s="26"/>
      <x:c r="M21" s="26"/>
      <x:c r="N21" s="28"/>
      <x:c r="O21" s="26"/>
      <x:c r="P21" s="26"/>
      <x:c r="Q21" s="22"/>
      <x:c r="R21" s="22"/>
      <x:c r="S21" s="22"/>
      <x:c r="T21" s="22"/>
      <x:c r="U21" s="22" t="str">
        <x:f>IF(OR(P21="",K21="Завершён",K21="Закрыт без продукта"),"",P21-TODAY())</x:f>
      </x:c>
    </x:row>
    <x:row r="22">
      <x:c r="A22" s="22" t="str">
        <x:f>IF(C22="","","RTE-"&amp;TEXT(ROW()-2,"0000"))</x:f>
      </x:c>
      <x:c r="B22" s="22"/>
      <x:c r="C22" s="22"/>
      <x:c r="D22" s="22"/>
      <x:c r="E22" s="22"/>
      <x:c r="F22" s="22"/>
      <x:c r="G22" s="22"/>
      <x:c r="H22" s="22"/>
      <x:c r="I22" s="22"/>
      <x:c r="J22" s="26"/>
      <x:c r="K22" s="22"/>
      <x:c r="L22" s="26"/>
      <x:c r="M22" s="26"/>
      <x:c r="N22" s="28"/>
      <x:c r="O22" s="26"/>
      <x:c r="P22" s="26"/>
      <x:c r="Q22" s="22"/>
      <x:c r="R22" s="22"/>
      <x:c r="S22" s="22"/>
      <x:c r="T22" s="22"/>
      <x:c r="U22" s="22" t="str">
        <x:f>IF(OR(P22="",K22="Завершён",K22="Закрыт без продукта"),"",P22-TODAY())</x:f>
      </x:c>
    </x:row>
    <x:row r="23">
      <x:c r="A23" s="22" t="str">
        <x:f>IF(C23="","","RTE-"&amp;TEXT(ROW()-2,"0000"))</x:f>
      </x:c>
      <x:c r="B23" s="22"/>
      <x:c r="C23" s="22"/>
      <x:c r="D23" s="22"/>
      <x:c r="E23" s="22"/>
      <x:c r="F23" s="22"/>
      <x:c r="G23" s="22"/>
      <x:c r="H23" s="22"/>
      <x:c r="I23" s="22"/>
      <x:c r="J23" s="26"/>
      <x:c r="K23" s="22"/>
      <x:c r="L23" s="26"/>
      <x:c r="M23" s="26"/>
      <x:c r="N23" s="28"/>
      <x:c r="O23" s="26"/>
      <x:c r="P23" s="26"/>
      <x:c r="Q23" s="22"/>
      <x:c r="R23" s="22"/>
      <x:c r="S23" s="22"/>
      <x:c r="T23" s="22"/>
      <x:c r="U23" s="22" t="str">
        <x:f>IF(OR(P23="",K23="Завершён",K23="Закрыт без продукта"),"",P23-TODAY())</x:f>
      </x:c>
    </x:row>
    <x:row r="24">
      <x:c r="A24" s="22" t="str">
        <x:f>IF(C24="","","RTE-"&amp;TEXT(ROW()-2,"0000"))</x:f>
      </x:c>
      <x:c r="B24" s="22"/>
      <x:c r="C24" s="22"/>
      <x:c r="D24" s="22"/>
      <x:c r="E24" s="22"/>
      <x:c r="F24" s="22"/>
      <x:c r="G24" s="22"/>
      <x:c r="H24" s="22"/>
      <x:c r="I24" s="22"/>
      <x:c r="J24" s="26"/>
      <x:c r="K24" s="22"/>
      <x:c r="L24" s="26"/>
      <x:c r="M24" s="26"/>
      <x:c r="N24" s="28"/>
      <x:c r="O24" s="26"/>
      <x:c r="P24" s="26"/>
      <x:c r="Q24" s="22"/>
      <x:c r="R24" s="22"/>
      <x:c r="S24" s="22"/>
      <x:c r="T24" s="22"/>
      <x:c r="U24" s="22" t="str">
        <x:f>IF(OR(P24="",K24="Завершён",K24="Закрыт без продукта"),"",P24-TODAY())</x:f>
      </x:c>
    </x:row>
    <x:row r="25">
      <x:c r="A25" s="22" t="str">
        <x:f>IF(C25="","","RTE-"&amp;TEXT(ROW()-2,"0000"))</x:f>
      </x:c>
      <x:c r="B25" s="22"/>
      <x:c r="C25" s="22"/>
      <x:c r="D25" s="22"/>
      <x:c r="E25" s="22"/>
      <x:c r="F25" s="22"/>
      <x:c r="G25" s="22"/>
      <x:c r="H25" s="22"/>
      <x:c r="I25" s="22"/>
      <x:c r="J25" s="26"/>
      <x:c r="K25" s="22"/>
      <x:c r="L25" s="26"/>
      <x:c r="M25" s="26"/>
      <x:c r="N25" s="28"/>
      <x:c r="O25" s="26"/>
      <x:c r="P25" s="26"/>
      <x:c r="Q25" s="22"/>
      <x:c r="R25" s="22"/>
      <x:c r="S25" s="22"/>
      <x:c r="T25" s="22"/>
      <x:c r="U25" s="22" t="str">
        <x:f>IF(OR(P25="",K25="Завершён",K25="Закрыт без продукта"),"",P25-TODAY())</x:f>
      </x:c>
    </x:row>
    <x:row r="26">
      <x:c r="A26" s="22" t="str">
        <x:f>IF(C26="","","RTE-"&amp;TEXT(ROW()-2,"0000"))</x:f>
      </x:c>
      <x:c r="B26" s="22"/>
      <x:c r="C26" s="22"/>
      <x:c r="D26" s="22"/>
      <x:c r="E26" s="22"/>
      <x:c r="F26" s="22"/>
      <x:c r="G26" s="22"/>
      <x:c r="H26" s="22"/>
      <x:c r="I26" s="22"/>
      <x:c r="J26" s="26"/>
      <x:c r="K26" s="22"/>
      <x:c r="L26" s="26"/>
      <x:c r="M26" s="26"/>
      <x:c r="N26" s="28"/>
      <x:c r="O26" s="26"/>
      <x:c r="P26" s="26"/>
      <x:c r="Q26" s="22"/>
      <x:c r="R26" s="22"/>
      <x:c r="S26" s="22"/>
      <x:c r="T26" s="22"/>
      <x:c r="U26" s="22" t="str">
        <x:f>IF(OR(P26="",K26="Завершён",K26="Закрыт без продукта"),"",P26-TODAY())</x:f>
      </x:c>
    </x:row>
    <x:row r="27">
      <x:c r="A27" s="22" t="str">
        <x:f>IF(C27="","","RTE-"&amp;TEXT(ROW()-2,"0000"))</x:f>
      </x:c>
      <x:c r="B27" s="22"/>
      <x:c r="C27" s="22"/>
      <x:c r="D27" s="22"/>
      <x:c r="E27" s="22"/>
      <x:c r="F27" s="22"/>
      <x:c r="G27" s="22"/>
      <x:c r="H27" s="22"/>
      <x:c r="I27" s="22"/>
      <x:c r="J27" s="26"/>
      <x:c r="K27" s="22"/>
      <x:c r="L27" s="26"/>
      <x:c r="M27" s="26"/>
      <x:c r="N27" s="28"/>
      <x:c r="O27" s="26"/>
      <x:c r="P27" s="26"/>
      <x:c r="Q27" s="22"/>
      <x:c r="R27" s="22"/>
      <x:c r="S27" s="22"/>
      <x:c r="T27" s="22"/>
      <x:c r="U27" s="22" t="str">
        <x:f>IF(OR(P27="",K27="Завершён",K27="Закрыт без продукта"),"",P27-TODAY())</x:f>
      </x:c>
    </x:row>
    <x:row r="28">
      <x:c r="A28" s="22" t="str">
        <x:f>IF(C28="","","RTE-"&amp;TEXT(ROW()-2,"0000"))</x:f>
      </x:c>
      <x:c r="B28" s="22"/>
      <x:c r="C28" s="22"/>
      <x:c r="D28" s="22"/>
      <x:c r="E28" s="22"/>
      <x:c r="F28" s="22"/>
      <x:c r="G28" s="22"/>
      <x:c r="H28" s="22"/>
      <x:c r="I28" s="22"/>
      <x:c r="J28" s="26"/>
      <x:c r="K28" s="22"/>
      <x:c r="L28" s="26"/>
      <x:c r="M28" s="26"/>
      <x:c r="N28" s="28"/>
      <x:c r="O28" s="26"/>
      <x:c r="P28" s="26"/>
      <x:c r="Q28" s="22"/>
      <x:c r="R28" s="22"/>
      <x:c r="S28" s="22"/>
      <x:c r="T28" s="22"/>
      <x:c r="U28" s="22" t="str">
        <x:f>IF(OR(P28="",K28="Завершён",K28="Закрыт без продукта"),"",P28-TODAY())</x:f>
      </x:c>
    </x:row>
    <x:row r="29">
      <x:c r="A29" s="22" t="str">
        <x:f>IF(C29="","","RTE-"&amp;TEXT(ROW()-2,"0000"))</x:f>
      </x:c>
      <x:c r="B29" s="22"/>
      <x:c r="C29" s="22"/>
      <x:c r="D29" s="22"/>
      <x:c r="E29" s="22"/>
      <x:c r="F29" s="22"/>
      <x:c r="G29" s="22"/>
      <x:c r="H29" s="22"/>
      <x:c r="I29" s="22"/>
      <x:c r="J29" s="26"/>
      <x:c r="K29" s="22"/>
      <x:c r="L29" s="26"/>
      <x:c r="M29" s="26"/>
      <x:c r="N29" s="28"/>
      <x:c r="O29" s="26"/>
      <x:c r="P29" s="26"/>
      <x:c r="Q29" s="22"/>
      <x:c r="R29" s="22"/>
      <x:c r="S29" s="22"/>
      <x:c r="T29" s="22"/>
      <x:c r="U29" s="22" t="str">
        <x:f>IF(OR(P29="",K29="Завершён",K29="Закрыт без продукта"),"",P29-TODAY())</x:f>
      </x:c>
    </x:row>
    <x:row r="30">
      <x:c r="A30" s="22" t="str">
        <x:f>IF(C30="","","RTE-"&amp;TEXT(ROW()-2,"0000"))</x:f>
      </x:c>
      <x:c r="B30" s="22"/>
      <x:c r="C30" s="22"/>
      <x:c r="D30" s="22"/>
      <x:c r="E30" s="22"/>
      <x:c r="F30" s="22"/>
      <x:c r="G30" s="22"/>
      <x:c r="H30" s="22"/>
      <x:c r="I30" s="22"/>
      <x:c r="J30" s="26"/>
      <x:c r="K30" s="22"/>
      <x:c r="L30" s="26"/>
      <x:c r="M30" s="26"/>
      <x:c r="N30" s="28"/>
      <x:c r="O30" s="26"/>
      <x:c r="P30" s="26"/>
      <x:c r="Q30" s="22"/>
      <x:c r="R30" s="22"/>
      <x:c r="S30" s="22"/>
      <x:c r="T30" s="22"/>
      <x:c r="U30" s="22" t="str">
        <x:f>IF(OR(P30="",K30="Завершён",K30="Закрыт без продукта"),"",P30-TODAY())</x:f>
      </x:c>
    </x:row>
    <x:row r="31">
      <x:c r="A31" s="22" t="str">
        <x:f>IF(C31="","","RTE-"&amp;TEXT(ROW()-2,"0000"))</x:f>
      </x:c>
      <x:c r="B31" s="22"/>
      <x:c r="C31" s="22"/>
      <x:c r="D31" s="22"/>
      <x:c r="E31" s="22"/>
      <x:c r="F31" s="22"/>
      <x:c r="G31" s="22"/>
      <x:c r="H31" s="22"/>
      <x:c r="I31" s="22"/>
      <x:c r="J31" s="26"/>
      <x:c r="K31" s="22"/>
      <x:c r="L31" s="26"/>
      <x:c r="M31" s="26"/>
      <x:c r="N31" s="28"/>
      <x:c r="O31" s="26"/>
      <x:c r="P31" s="26"/>
      <x:c r="Q31" s="22"/>
      <x:c r="R31" s="22"/>
      <x:c r="S31" s="22"/>
      <x:c r="T31" s="22"/>
      <x:c r="U31" s="22" t="str">
        <x:f>IF(OR(P31="",K31="Завершён",K31="Закрыт без продукта"),"",P31-TODAY())</x:f>
      </x:c>
    </x:row>
    <x:row r="32">
      <x:c r="A32" s="22" t="str">
        <x:f>IF(C32="","","RTE-"&amp;TEXT(ROW()-2,"0000"))</x:f>
      </x:c>
      <x:c r="B32" s="22"/>
      <x:c r="C32" s="22"/>
      <x:c r="D32" s="22"/>
      <x:c r="E32" s="22"/>
      <x:c r="F32" s="22"/>
      <x:c r="G32" s="22"/>
      <x:c r="H32" s="22"/>
      <x:c r="I32" s="22"/>
      <x:c r="J32" s="26"/>
      <x:c r="K32" s="22"/>
      <x:c r="L32" s="26"/>
      <x:c r="M32" s="26"/>
      <x:c r="N32" s="28"/>
      <x:c r="O32" s="26"/>
      <x:c r="P32" s="26"/>
      <x:c r="Q32" s="22"/>
      <x:c r="R32" s="22"/>
      <x:c r="S32" s="22"/>
      <x:c r="T32" s="22"/>
      <x:c r="U32" s="22" t="str">
        <x:f>IF(OR(P32="",K32="Завершён",K32="Закрыт без продукта"),"",P32-TODAY())</x:f>
      </x:c>
    </x:row>
    <x:row r="33">
      <x:c r="A33" s="22" t="str">
        <x:f>IF(C33="","","RTE-"&amp;TEXT(ROW()-2,"0000"))</x:f>
      </x:c>
      <x:c r="B33" s="22"/>
      <x:c r="C33" s="22"/>
      <x:c r="D33" s="22"/>
      <x:c r="E33" s="22"/>
      <x:c r="F33" s="22"/>
      <x:c r="G33" s="22"/>
      <x:c r="H33" s="22"/>
      <x:c r="I33" s="22"/>
      <x:c r="J33" s="26"/>
      <x:c r="K33" s="22"/>
      <x:c r="L33" s="26"/>
      <x:c r="M33" s="26"/>
      <x:c r="N33" s="28"/>
      <x:c r="O33" s="26"/>
      <x:c r="P33" s="26"/>
      <x:c r="Q33" s="22"/>
      <x:c r="R33" s="22"/>
      <x:c r="S33" s="22"/>
      <x:c r="T33" s="22"/>
      <x:c r="U33" s="22" t="str">
        <x:f>IF(OR(P33="",K33="Завершён",K33="Закрыт без продукта"),"",P33-TODAY())</x:f>
      </x:c>
    </x:row>
    <x:row r="34">
      <x:c r="A34" s="22" t="str">
        <x:f>IF(C34="","","RTE-"&amp;TEXT(ROW()-2,"0000"))</x:f>
      </x:c>
      <x:c r="B34" s="22"/>
      <x:c r="C34" s="22"/>
      <x:c r="D34" s="22"/>
      <x:c r="E34" s="22"/>
      <x:c r="F34" s="22"/>
      <x:c r="G34" s="22"/>
      <x:c r="H34" s="22"/>
      <x:c r="I34" s="22"/>
      <x:c r="J34" s="26"/>
      <x:c r="K34" s="22"/>
      <x:c r="L34" s="26"/>
      <x:c r="M34" s="26"/>
      <x:c r="N34" s="28"/>
      <x:c r="O34" s="26"/>
      <x:c r="P34" s="26"/>
      <x:c r="Q34" s="22"/>
      <x:c r="R34" s="22"/>
      <x:c r="S34" s="22"/>
      <x:c r="T34" s="22"/>
      <x:c r="U34" s="22" t="str">
        <x:f>IF(OR(P34="",K34="Завершён",K34="Закрыт без продукта"),"",P34-TODAY())</x:f>
      </x:c>
    </x:row>
    <x:row r="35">
      <x:c r="A35" s="22" t="str">
        <x:f>IF(C35="","","RTE-"&amp;TEXT(ROW()-2,"0000"))</x:f>
      </x:c>
      <x:c r="B35" s="22"/>
      <x:c r="C35" s="22"/>
      <x:c r="D35" s="22"/>
      <x:c r="E35" s="22"/>
      <x:c r="F35" s="22"/>
      <x:c r="G35" s="22"/>
      <x:c r="H35" s="22"/>
      <x:c r="I35" s="22"/>
      <x:c r="J35" s="26"/>
      <x:c r="K35" s="22"/>
      <x:c r="L35" s="26"/>
      <x:c r="M35" s="26"/>
      <x:c r="N35" s="28"/>
      <x:c r="O35" s="26"/>
      <x:c r="P35" s="26"/>
      <x:c r="Q35" s="22"/>
      <x:c r="R35" s="22"/>
      <x:c r="S35" s="22"/>
      <x:c r="T35" s="22"/>
      <x:c r="U35" s="22" t="str">
        <x:f>IF(OR(P35="",K35="Завершён",K35="Закрыт без продукта"),"",P35-TODAY())</x:f>
      </x:c>
    </x:row>
    <x:row r="36">
      <x:c r="A36" s="22" t="str">
        <x:f>IF(C36="","","RTE-"&amp;TEXT(ROW()-2,"0000"))</x:f>
      </x:c>
      <x:c r="B36" s="22"/>
      <x:c r="C36" s="22"/>
      <x:c r="D36" s="22"/>
      <x:c r="E36" s="22"/>
      <x:c r="F36" s="22"/>
      <x:c r="G36" s="22"/>
      <x:c r="H36" s="22"/>
      <x:c r="I36" s="22"/>
      <x:c r="J36" s="26"/>
      <x:c r="K36" s="22"/>
      <x:c r="L36" s="26"/>
      <x:c r="M36" s="26"/>
      <x:c r="N36" s="28"/>
      <x:c r="O36" s="26"/>
      <x:c r="P36" s="26"/>
      <x:c r="Q36" s="22"/>
      <x:c r="R36" s="22"/>
      <x:c r="S36" s="22"/>
      <x:c r="T36" s="22"/>
      <x:c r="U36" s="22" t="str">
        <x:f>IF(OR(P36="",K36="Завершён",K36="Закрыт без продукта"),"",P36-TODAY())</x:f>
      </x:c>
    </x:row>
    <x:row r="37">
      <x:c r="A37" s="22" t="str">
        <x:f>IF(C37="","","RTE-"&amp;TEXT(ROW()-2,"0000"))</x:f>
      </x:c>
      <x:c r="B37" s="22"/>
      <x:c r="C37" s="22"/>
      <x:c r="D37" s="22"/>
      <x:c r="E37" s="22"/>
      <x:c r="F37" s="22"/>
      <x:c r="G37" s="22"/>
      <x:c r="H37" s="22"/>
      <x:c r="I37" s="22"/>
      <x:c r="J37" s="26"/>
      <x:c r="K37" s="22"/>
      <x:c r="L37" s="26"/>
      <x:c r="M37" s="26"/>
      <x:c r="N37" s="28"/>
      <x:c r="O37" s="26"/>
      <x:c r="P37" s="26"/>
      <x:c r="Q37" s="22"/>
      <x:c r="R37" s="22"/>
      <x:c r="S37" s="22"/>
      <x:c r="T37" s="22"/>
      <x:c r="U37" s="22" t="str">
        <x:f>IF(OR(P37="",K37="Завершён",K37="Закрыт без продукта"),"",P37-TODAY())</x:f>
      </x:c>
    </x:row>
    <x:row r="38">
      <x:c r="A38" s="22" t="str">
        <x:f>IF(C38="","","RTE-"&amp;TEXT(ROW()-2,"0000"))</x:f>
      </x:c>
      <x:c r="B38" s="22"/>
      <x:c r="C38" s="22"/>
      <x:c r="D38" s="22"/>
      <x:c r="E38" s="22"/>
      <x:c r="F38" s="22"/>
      <x:c r="G38" s="22"/>
      <x:c r="H38" s="22"/>
      <x:c r="I38" s="22"/>
      <x:c r="J38" s="26"/>
      <x:c r="K38" s="22"/>
      <x:c r="L38" s="26"/>
      <x:c r="M38" s="26"/>
      <x:c r="N38" s="28"/>
      <x:c r="O38" s="26"/>
      <x:c r="P38" s="26"/>
      <x:c r="Q38" s="22"/>
      <x:c r="R38" s="22"/>
      <x:c r="S38" s="22"/>
      <x:c r="T38" s="22"/>
      <x:c r="U38" s="22" t="str">
        <x:f>IF(OR(P38="",K38="Завершён",K38="Закрыт без продукта"),"",P38-TODAY())</x:f>
      </x:c>
    </x:row>
    <x:row r="39">
      <x:c r="A39" s="22" t="str">
        <x:f>IF(C39="","","RTE-"&amp;TEXT(ROW()-2,"0000"))</x:f>
      </x:c>
      <x:c r="B39" s="22"/>
      <x:c r="C39" s="22"/>
      <x:c r="D39" s="22"/>
      <x:c r="E39" s="22"/>
      <x:c r="F39" s="22"/>
      <x:c r="G39" s="22"/>
      <x:c r="H39" s="22"/>
      <x:c r="I39" s="22"/>
      <x:c r="J39" s="26"/>
      <x:c r="K39" s="22"/>
      <x:c r="L39" s="26"/>
      <x:c r="M39" s="26"/>
      <x:c r="N39" s="28"/>
      <x:c r="O39" s="26"/>
      <x:c r="P39" s="26"/>
      <x:c r="Q39" s="22"/>
      <x:c r="R39" s="22"/>
      <x:c r="S39" s="22"/>
      <x:c r="T39" s="22"/>
      <x:c r="U39" s="22" t="str">
        <x:f>IF(OR(P39="",K39="Завершён",K39="Закрыт без продукта"),"",P39-TODAY())</x:f>
      </x:c>
    </x:row>
    <x:row r="40">
      <x:c r="A40" s="22" t="str">
        <x:f>IF(C40="","","RTE-"&amp;TEXT(ROW()-2,"0000"))</x:f>
      </x:c>
      <x:c r="B40" s="22"/>
      <x:c r="C40" s="22"/>
      <x:c r="D40" s="22"/>
      <x:c r="E40" s="22"/>
      <x:c r="F40" s="22"/>
      <x:c r="G40" s="22"/>
      <x:c r="H40" s="22"/>
      <x:c r="I40" s="22"/>
      <x:c r="J40" s="26"/>
      <x:c r="K40" s="22"/>
      <x:c r="L40" s="26"/>
      <x:c r="M40" s="26"/>
      <x:c r="N40" s="28"/>
      <x:c r="O40" s="26"/>
      <x:c r="P40" s="26"/>
      <x:c r="Q40" s="22"/>
      <x:c r="R40" s="22"/>
      <x:c r="S40" s="22"/>
      <x:c r="T40" s="22"/>
      <x:c r="U40" s="22" t="str">
        <x:f>IF(OR(P40="",K40="Завершён",K40="Закрыт без продукта"),"",P40-TODAY())</x:f>
      </x:c>
    </x:row>
    <x:row r="41">
      <x:c r="A41" s="22" t="str">
        <x:f>IF(C41="","","RTE-"&amp;TEXT(ROW()-2,"0000"))</x:f>
      </x:c>
      <x:c r="B41" s="22"/>
      <x:c r="C41" s="22"/>
      <x:c r="D41" s="22"/>
      <x:c r="E41" s="22"/>
      <x:c r="F41" s="22"/>
      <x:c r="G41" s="22"/>
      <x:c r="H41" s="22"/>
      <x:c r="I41" s="22"/>
      <x:c r="J41" s="26"/>
      <x:c r="K41" s="22"/>
      <x:c r="L41" s="26"/>
      <x:c r="M41" s="26"/>
      <x:c r="N41" s="28"/>
      <x:c r="O41" s="26"/>
      <x:c r="P41" s="26"/>
      <x:c r="Q41" s="22"/>
      <x:c r="R41" s="22"/>
      <x:c r="S41" s="22"/>
      <x:c r="T41" s="22"/>
      <x:c r="U41" s="22" t="str">
        <x:f>IF(OR(P41="",K41="Завершён",K41="Закрыт без продукта"),"",P41-TODAY())</x:f>
      </x:c>
    </x:row>
    <x:row r="42">
      <x:c r="A42" s="22" t="str">
        <x:f>IF(C42="","","RTE-"&amp;TEXT(ROW()-2,"0000"))</x:f>
      </x:c>
      <x:c r="B42" s="22"/>
      <x:c r="C42" s="22"/>
      <x:c r="D42" s="22"/>
      <x:c r="E42" s="22"/>
      <x:c r="F42" s="22"/>
      <x:c r="G42" s="22"/>
      <x:c r="H42" s="22"/>
      <x:c r="I42" s="22"/>
      <x:c r="J42" s="26"/>
      <x:c r="K42" s="22"/>
      <x:c r="L42" s="26"/>
      <x:c r="M42" s="26"/>
      <x:c r="N42" s="28"/>
      <x:c r="O42" s="26"/>
      <x:c r="P42" s="26"/>
      <x:c r="Q42" s="22"/>
      <x:c r="R42" s="22"/>
      <x:c r="S42" s="22"/>
      <x:c r="T42" s="22"/>
      <x:c r="U42" s="22" t="str">
        <x:f>IF(OR(P42="",K42="Завершён",K42="Закрыт без продукта"),"",P42-TODAY())</x:f>
      </x:c>
    </x:row>
    <x:row r="43">
      <x:c r="A43" s="22" t="str">
        <x:f>IF(C43="","","RTE-"&amp;TEXT(ROW()-2,"0000"))</x:f>
      </x:c>
      <x:c r="B43" s="22"/>
      <x:c r="C43" s="22"/>
      <x:c r="D43" s="22"/>
      <x:c r="E43" s="22"/>
      <x:c r="F43" s="22"/>
      <x:c r="G43" s="22"/>
      <x:c r="H43" s="22"/>
      <x:c r="I43" s="22"/>
      <x:c r="J43" s="26"/>
      <x:c r="K43" s="22"/>
      <x:c r="L43" s="26"/>
      <x:c r="M43" s="26"/>
      <x:c r="N43" s="28"/>
      <x:c r="O43" s="26"/>
      <x:c r="P43" s="26"/>
      <x:c r="Q43" s="22"/>
      <x:c r="R43" s="22"/>
      <x:c r="S43" s="22"/>
      <x:c r="T43" s="22"/>
      <x:c r="U43" s="22" t="str">
        <x:f>IF(OR(P43="",K43="Завершён",K43="Закрыт без продукта"),"",P43-TODAY())</x:f>
      </x:c>
    </x:row>
    <x:row r="44">
      <x:c r="A44" s="22" t="str">
        <x:f>IF(C44="","","RTE-"&amp;TEXT(ROW()-2,"0000"))</x:f>
      </x:c>
      <x:c r="B44" s="22"/>
      <x:c r="C44" s="22"/>
      <x:c r="D44" s="22"/>
      <x:c r="E44" s="22"/>
      <x:c r="F44" s="22"/>
      <x:c r="G44" s="22"/>
      <x:c r="H44" s="22"/>
      <x:c r="I44" s="22"/>
      <x:c r="J44" s="26"/>
      <x:c r="K44" s="22"/>
      <x:c r="L44" s="26"/>
      <x:c r="M44" s="26"/>
      <x:c r="N44" s="28"/>
      <x:c r="O44" s="26"/>
      <x:c r="P44" s="26"/>
      <x:c r="Q44" s="22"/>
      <x:c r="R44" s="22"/>
      <x:c r="S44" s="22"/>
      <x:c r="T44" s="22"/>
      <x:c r="U44" s="22" t="str">
        <x:f>IF(OR(P44="",K44="Завершён",K44="Закрыт без продукта"),"",P44-TODAY())</x:f>
      </x:c>
    </x:row>
    <x:row r="45">
      <x:c r="A45" s="22" t="str">
        <x:f>IF(C45="","","RTE-"&amp;TEXT(ROW()-2,"0000"))</x:f>
      </x:c>
      <x:c r="B45" s="22"/>
      <x:c r="C45" s="22"/>
      <x:c r="D45" s="22"/>
      <x:c r="E45" s="22"/>
      <x:c r="F45" s="22"/>
      <x:c r="G45" s="22"/>
      <x:c r="H45" s="22"/>
      <x:c r="I45" s="22"/>
      <x:c r="J45" s="26"/>
      <x:c r="K45" s="22"/>
      <x:c r="L45" s="26"/>
      <x:c r="M45" s="26"/>
      <x:c r="N45" s="28"/>
      <x:c r="O45" s="26"/>
      <x:c r="P45" s="26"/>
      <x:c r="Q45" s="22"/>
      <x:c r="R45" s="22"/>
      <x:c r="S45" s="22"/>
      <x:c r="T45" s="22"/>
      <x:c r="U45" s="22" t="str">
        <x:f>IF(OR(P45="",K45="Завершён",K45="Закрыт без продукта"),"",P45-TODAY())</x:f>
      </x:c>
    </x:row>
    <x:row r="46">
      <x:c r="A46" s="22" t="str">
        <x:f>IF(C46="","","RTE-"&amp;TEXT(ROW()-2,"0000"))</x:f>
      </x:c>
      <x:c r="B46" s="22"/>
      <x:c r="C46" s="22"/>
      <x:c r="D46" s="22"/>
      <x:c r="E46" s="22"/>
      <x:c r="F46" s="22"/>
      <x:c r="G46" s="22"/>
      <x:c r="H46" s="22"/>
      <x:c r="I46" s="22"/>
      <x:c r="J46" s="26"/>
      <x:c r="K46" s="22"/>
      <x:c r="L46" s="26"/>
      <x:c r="M46" s="26"/>
      <x:c r="N46" s="28"/>
      <x:c r="O46" s="26"/>
      <x:c r="P46" s="26"/>
      <x:c r="Q46" s="22"/>
      <x:c r="R46" s="22"/>
      <x:c r="S46" s="22"/>
      <x:c r="T46" s="22"/>
      <x:c r="U46" s="22" t="str">
        <x:f>IF(OR(P46="",K46="Завершён",K46="Закрыт без продукта"),"",P46-TODAY())</x:f>
      </x:c>
    </x:row>
    <x:row r="47">
      <x:c r="A47" s="22" t="str">
        <x:f>IF(C47="","","RTE-"&amp;TEXT(ROW()-2,"0000"))</x:f>
      </x:c>
      <x:c r="B47" s="22"/>
      <x:c r="C47" s="22"/>
      <x:c r="D47" s="22"/>
      <x:c r="E47" s="22"/>
      <x:c r="F47" s="22"/>
      <x:c r="G47" s="22"/>
      <x:c r="H47" s="22"/>
      <x:c r="I47" s="22"/>
      <x:c r="J47" s="26"/>
      <x:c r="K47" s="22"/>
      <x:c r="L47" s="26"/>
      <x:c r="M47" s="26"/>
      <x:c r="N47" s="28"/>
      <x:c r="O47" s="26"/>
      <x:c r="P47" s="26"/>
      <x:c r="Q47" s="22"/>
      <x:c r="R47" s="22"/>
      <x:c r="S47" s="22"/>
      <x:c r="T47" s="22"/>
      <x:c r="U47" s="22" t="str">
        <x:f>IF(OR(P47="",K47="Завершён",K47="Закрыт без продукта"),"",P47-TODAY())</x:f>
      </x:c>
    </x:row>
    <x:row r="48">
      <x:c r="A48" s="22" t="str">
        <x:f>IF(C48="","","RTE-"&amp;TEXT(ROW()-2,"0000"))</x:f>
      </x:c>
      <x:c r="B48" s="22"/>
      <x:c r="C48" s="22"/>
      <x:c r="D48" s="22"/>
      <x:c r="E48" s="22"/>
      <x:c r="F48" s="22"/>
      <x:c r="G48" s="22"/>
      <x:c r="H48" s="22"/>
      <x:c r="I48" s="22"/>
      <x:c r="J48" s="26"/>
      <x:c r="K48" s="22"/>
      <x:c r="L48" s="26"/>
      <x:c r="M48" s="26"/>
      <x:c r="N48" s="28"/>
      <x:c r="O48" s="26"/>
      <x:c r="P48" s="26"/>
      <x:c r="Q48" s="22"/>
      <x:c r="R48" s="22"/>
      <x:c r="S48" s="22"/>
      <x:c r="T48" s="22"/>
      <x:c r="U48" s="22" t="str">
        <x:f>IF(OR(P48="",K48="Завершён",K48="Закрыт без продукта"),"",P48-TODAY())</x:f>
      </x:c>
    </x:row>
    <x:row r="49">
      <x:c r="A49" s="22" t="str">
        <x:f>IF(C49="","","RTE-"&amp;TEXT(ROW()-2,"0000"))</x:f>
      </x:c>
      <x:c r="B49" s="22"/>
      <x:c r="C49" s="22"/>
      <x:c r="D49" s="22"/>
      <x:c r="E49" s="22"/>
      <x:c r="F49" s="22"/>
      <x:c r="G49" s="22"/>
      <x:c r="H49" s="22"/>
      <x:c r="I49" s="22"/>
      <x:c r="J49" s="26"/>
      <x:c r="K49" s="22"/>
      <x:c r="L49" s="26"/>
      <x:c r="M49" s="26"/>
      <x:c r="N49" s="28"/>
      <x:c r="O49" s="26"/>
      <x:c r="P49" s="26"/>
      <x:c r="Q49" s="22"/>
      <x:c r="R49" s="22"/>
      <x:c r="S49" s="22"/>
      <x:c r="T49" s="22"/>
      <x:c r="U49" s="22" t="str">
        <x:f>IF(OR(P49="",K49="Завершён",K49="Закрыт без продукта"),"",P49-TODAY())</x:f>
      </x:c>
    </x:row>
    <x:row r="50">
      <x:c r="A50" s="22" t="str">
        <x:f>IF(C50="","","RTE-"&amp;TEXT(ROW()-2,"0000"))</x:f>
      </x:c>
      <x:c r="B50" s="22"/>
      <x:c r="C50" s="22"/>
      <x:c r="D50" s="22"/>
      <x:c r="E50" s="22"/>
      <x:c r="F50" s="22"/>
      <x:c r="G50" s="22"/>
      <x:c r="H50" s="22"/>
      <x:c r="I50" s="22"/>
      <x:c r="J50" s="26"/>
      <x:c r="K50" s="22"/>
      <x:c r="L50" s="26"/>
      <x:c r="M50" s="26"/>
      <x:c r="N50" s="28"/>
      <x:c r="O50" s="26"/>
      <x:c r="P50" s="26"/>
      <x:c r="Q50" s="22"/>
      <x:c r="R50" s="22"/>
      <x:c r="S50" s="22"/>
      <x:c r="T50" s="22"/>
      <x:c r="U50" s="22" t="str">
        <x:f>IF(OR(P50="",K50="Завершён",K50="Закрыт без продукта"),"",P50-TODAY())</x:f>
      </x:c>
    </x:row>
    <x:row r="51">
      <x:c r="A51" s="22" t="str">
        <x:f>IF(C51="","","RTE-"&amp;TEXT(ROW()-2,"0000"))</x:f>
      </x:c>
      <x:c r="B51" s="22"/>
      <x:c r="C51" s="22"/>
      <x:c r="D51" s="22"/>
      <x:c r="E51" s="22"/>
      <x:c r="F51" s="22"/>
      <x:c r="G51" s="22"/>
      <x:c r="H51" s="22"/>
      <x:c r="I51" s="22"/>
      <x:c r="J51" s="26"/>
      <x:c r="K51" s="22"/>
      <x:c r="L51" s="26"/>
      <x:c r="M51" s="26"/>
      <x:c r="N51" s="28"/>
      <x:c r="O51" s="26"/>
      <x:c r="P51" s="26"/>
      <x:c r="Q51" s="22"/>
      <x:c r="R51" s="22"/>
      <x:c r="S51" s="22"/>
      <x:c r="T51" s="22"/>
      <x:c r="U51" s="22" t="str">
        <x:f>IF(OR(P51="",K51="Завершён",K51="Закрыт без продукта"),"",P51-TODAY())</x:f>
      </x:c>
    </x:row>
    <x:row r="52">
      <x:c r="A52" s="22" t="str">
        <x:f>IF(C52="","","RTE-"&amp;TEXT(ROW()-2,"0000"))</x:f>
      </x:c>
      <x:c r="B52" s="22"/>
      <x:c r="C52" s="22"/>
      <x:c r="D52" s="22"/>
      <x:c r="E52" s="22"/>
      <x:c r="F52" s="22"/>
      <x:c r="G52" s="22"/>
      <x:c r="H52" s="22"/>
      <x:c r="I52" s="22"/>
      <x:c r="J52" s="26"/>
      <x:c r="K52" s="22"/>
      <x:c r="L52" s="26"/>
      <x:c r="M52" s="26"/>
      <x:c r="N52" s="28"/>
      <x:c r="O52" s="26"/>
      <x:c r="P52" s="26"/>
      <x:c r="Q52" s="22"/>
      <x:c r="R52" s="22"/>
      <x:c r="S52" s="22"/>
      <x:c r="T52" s="22"/>
      <x:c r="U52" s="22" t="str">
        <x:f>IF(OR(P52="",K52="Завершён",K52="Закрыт без продукта"),"",P52-TODAY())</x:f>
      </x:c>
    </x:row>
    <x:row r="53">
      <x:c r="A53" s="22" t="str">
        <x:f>IF(C53="","","RTE-"&amp;TEXT(ROW()-2,"0000"))</x:f>
      </x:c>
      <x:c r="B53" s="22"/>
      <x:c r="C53" s="22"/>
      <x:c r="D53" s="22"/>
      <x:c r="E53" s="22"/>
      <x:c r="F53" s="22"/>
      <x:c r="G53" s="22"/>
      <x:c r="H53" s="22"/>
      <x:c r="I53" s="22"/>
      <x:c r="J53" s="26"/>
      <x:c r="K53" s="22"/>
      <x:c r="L53" s="26"/>
      <x:c r="M53" s="26"/>
      <x:c r="N53" s="28"/>
      <x:c r="O53" s="26"/>
      <x:c r="P53" s="26"/>
      <x:c r="Q53" s="22"/>
      <x:c r="R53" s="22"/>
      <x:c r="S53" s="22"/>
      <x:c r="T53" s="22"/>
      <x:c r="U53" s="22" t="str">
        <x:f>IF(OR(P53="",K53="Завершён",K53="Закрыт без продукта"),"",P53-TODAY())</x:f>
      </x:c>
    </x:row>
    <x:row r="54">
      <x:c r="A54" s="22" t="str">
        <x:f>IF(C54="","","RTE-"&amp;TEXT(ROW()-2,"0000"))</x:f>
      </x:c>
      <x:c r="B54" s="22"/>
      <x:c r="C54" s="22"/>
      <x:c r="D54" s="22"/>
      <x:c r="E54" s="22"/>
      <x:c r="F54" s="22"/>
      <x:c r="G54" s="22"/>
      <x:c r="H54" s="22"/>
      <x:c r="I54" s="22"/>
      <x:c r="J54" s="26"/>
      <x:c r="K54" s="22"/>
      <x:c r="L54" s="26"/>
      <x:c r="M54" s="26"/>
      <x:c r="N54" s="28"/>
      <x:c r="O54" s="26"/>
      <x:c r="P54" s="26"/>
      <x:c r="Q54" s="22"/>
      <x:c r="R54" s="22"/>
      <x:c r="S54" s="22"/>
      <x:c r="T54" s="22"/>
      <x:c r="U54" s="22" t="str">
        <x:f>IF(OR(P54="",K54="Завершён",K54="Закрыт без продукта"),"",P54-TODAY())</x:f>
      </x:c>
    </x:row>
    <x:row r="55">
      <x:c r="A55" s="22" t="str">
        <x:f>IF(C55="","","RTE-"&amp;TEXT(ROW()-2,"0000"))</x:f>
      </x:c>
      <x:c r="B55" s="22"/>
      <x:c r="C55" s="22"/>
      <x:c r="D55" s="22"/>
      <x:c r="E55" s="22"/>
      <x:c r="F55" s="22"/>
      <x:c r="G55" s="22"/>
      <x:c r="H55" s="22"/>
      <x:c r="I55" s="22"/>
      <x:c r="J55" s="26"/>
      <x:c r="K55" s="22"/>
      <x:c r="L55" s="26"/>
      <x:c r="M55" s="26"/>
      <x:c r="N55" s="28"/>
      <x:c r="O55" s="26"/>
      <x:c r="P55" s="26"/>
      <x:c r="Q55" s="22"/>
      <x:c r="R55" s="22"/>
      <x:c r="S55" s="22"/>
      <x:c r="T55" s="22"/>
      <x:c r="U55" s="22" t="str">
        <x:f>IF(OR(P55="",K55="Завершён",K55="Закрыт без продукта"),"",P55-TODAY())</x:f>
      </x:c>
    </x:row>
    <x:row r="56">
      <x:c r="A56" s="22" t="str">
        <x:f>IF(C56="","","RTE-"&amp;TEXT(ROW()-2,"0000"))</x:f>
      </x:c>
      <x:c r="B56" s="22"/>
      <x:c r="C56" s="22"/>
      <x:c r="D56" s="22"/>
      <x:c r="E56" s="22"/>
      <x:c r="F56" s="22"/>
      <x:c r="G56" s="22"/>
      <x:c r="H56" s="22"/>
      <x:c r="I56" s="22"/>
      <x:c r="J56" s="26"/>
      <x:c r="K56" s="22"/>
      <x:c r="L56" s="26"/>
      <x:c r="M56" s="26"/>
      <x:c r="N56" s="28"/>
      <x:c r="O56" s="26"/>
      <x:c r="P56" s="26"/>
      <x:c r="Q56" s="22"/>
      <x:c r="R56" s="22"/>
      <x:c r="S56" s="22"/>
      <x:c r="T56" s="22"/>
      <x:c r="U56" s="22" t="str">
        <x:f>IF(OR(P56="",K56="Завершён",K56="Закрыт без продукта"),"",P56-TODAY())</x:f>
      </x:c>
    </x:row>
    <x:row r="57">
      <x:c r="A57" s="22" t="str">
        <x:f>IF(C57="","","RTE-"&amp;TEXT(ROW()-2,"0000"))</x:f>
      </x:c>
      <x:c r="B57" s="22"/>
      <x:c r="C57" s="22"/>
      <x:c r="D57" s="22"/>
      <x:c r="E57" s="22"/>
      <x:c r="F57" s="22"/>
      <x:c r="G57" s="22"/>
      <x:c r="H57" s="22"/>
      <x:c r="I57" s="22"/>
      <x:c r="J57" s="26"/>
      <x:c r="K57" s="22"/>
      <x:c r="L57" s="26"/>
      <x:c r="M57" s="26"/>
      <x:c r="N57" s="28"/>
      <x:c r="O57" s="26"/>
      <x:c r="P57" s="26"/>
      <x:c r="Q57" s="22"/>
      <x:c r="R57" s="22"/>
      <x:c r="S57" s="22"/>
      <x:c r="T57" s="22"/>
      <x:c r="U57" s="22" t="str">
        <x:f>IF(OR(P57="",K57="Завершён",K57="Закрыт без продукта"),"",P57-TODAY())</x:f>
      </x:c>
    </x:row>
    <x:row r="58">
      <x:c r="A58" s="22" t="str">
        <x:f>IF(C58="","","RTE-"&amp;TEXT(ROW()-2,"0000"))</x:f>
      </x:c>
      <x:c r="B58" s="22"/>
      <x:c r="C58" s="22"/>
      <x:c r="D58" s="22"/>
      <x:c r="E58" s="22"/>
      <x:c r="F58" s="22"/>
      <x:c r="G58" s="22"/>
      <x:c r="H58" s="22"/>
      <x:c r="I58" s="22"/>
      <x:c r="J58" s="26"/>
      <x:c r="K58" s="22"/>
      <x:c r="L58" s="26"/>
      <x:c r="M58" s="26"/>
      <x:c r="N58" s="28"/>
      <x:c r="O58" s="26"/>
      <x:c r="P58" s="26"/>
      <x:c r="Q58" s="22"/>
      <x:c r="R58" s="22"/>
      <x:c r="S58" s="22"/>
      <x:c r="T58" s="22"/>
      <x:c r="U58" s="22" t="str">
        <x:f>IF(OR(P58="",K58="Завершён",K58="Закрыт без продукта"),"",P58-TODAY())</x:f>
      </x:c>
    </x:row>
    <x:row r="59">
      <x:c r="A59" s="22" t="str">
        <x:f>IF(C59="","","RTE-"&amp;TEXT(ROW()-2,"0000"))</x:f>
      </x:c>
      <x:c r="B59" s="22"/>
      <x:c r="C59" s="22"/>
      <x:c r="D59" s="22"/>
      <x:c r="E59" s="22"/>
      <x:c r="F59" s="22"/>
      <x:c r="G59" s="22"/>
      <x:c r="H59" s="22"/>
      <x:c r="I59" s="22"/>
      <x:c r="J59" s="26"/>
      <x:c r="K59" s="22"/>
      <x:c r="L59" s="26"/>
      <x:c r="M59" s="26"/>
      <x:c r="N59" s="28"/>
      <x:c r="O59" s="26"/>
      <x:c r="P59" s="26"/>
      <x:c r="Q59" s="22"/>
      <x:c r="R59" s="22"/>
      <x:c r="S59" s="22"/>
      <x:c r="T59" s="22"/>
      <x:c r="U59" s="22" t="str">
        <x:f>IF(OR(P59="",K59="Завершён",K59="Закрыт без продукта"),"",P59-TODAY())</x:f>
      </x:c>
    </x:row>
    <x:row r="60">
      <x:c r="A60" s="22" t="str">
        <x:f>IF(C60="","","RTE-"&amp;TEXT(ROW()-2,"0000"))</x:f>
      </x:c>
      <x:c r="B60" s="22"/>
      <x:c r="C60" s="22"/>
      <x:c r="D60" s="22"/>
      <x:c r="E60" s="22"/>
      <x:c r="F60" s="22"/>
      <x:c r="G60" s="22"/>
      <x:c r="H60" s="22"/>
      <x:c r="I60" s="22"/>
      <x:c r="J60" s="26"/>
      <x:c r="K60" s="22"/>
      <x:c r="L60" s="26"/>
      <x:c r="M60" s="26"/>
      <x:c r="N60" s="28"/>
      <x:c r="O60" s="26"/>
      <x:c r="P60" s="26"/>
      <x:c r="Q60" s="22"/>
      <x:c r="R60" s="22"/>
      <x:c r="S60" s="22"/>
      <x:c r="T60" s="22"/>
      <x:c r="U60" s="22" t="str">
        <x:f>IF(OR(P60="",K60="Завершён",K60="Закрыт без продукта"),"",P60-TODAY())</x:f>
      </x:c>
    </x:row>
    <x:row r="61">
      <x:c r="A61" s="22" t="str">
        <x:f>IF(C61="","","RTE-"&amp;TEXT(ROW()-2,"0000"))</x:f>
      </x:c>
      <x:c r="B61" s="22"/>
      <x:c r="C61" s="22"/>
      <x:c r="D61" s="22"/>
      <x:c r="E61" s="22"/>
      <x:c r="F61" s="22"/>
      <x:c r="G61" s="22"/>
      <x:c r="H61" s="22"/>
      <x:c r="I61" s="22"/>
      <x:c r="J61" s="26"/>
      <x:c r="K61" s="22"/>
      <x:c r="L61" s="26"/>
      <x:c r="M61" s="26"/>
      <x:c r="N61" s="28"/>
      <x:c r="O61" s="26"/>
      <x:c r="P61" s="26"/>
      <x:c r="Q61" s="22"/>
      <x:c r="R61" s="22"/>
      <x:c r="S61" s="22"/>
      <x:c r="T61" s="22"/>
      <x:c r="U61" s="22" t="str">
        <x:f>IF(OR(P61="",K61="Завершён",K61="Закрыт без продукта"),"",P61-TODAY())</x:f>
      </x:c>
    </x:row>
    <x:row r="62">
      <x:c r="A62" s="22" t="str">
        <x:f>IF(C62="","","RTE-"&amp;TEXT(ROW()-2,"0000"))</x:f>
      </x:c>
      <x:c r="B62" s="22"/>
      <x:c r="C62" s="22"/>
      <x:c r="D62" s="22"/>
      <x:c r="E62" s="22"/>
      <x:c r="F62" s="22"/>
      <x:c r="G62" s="22"/>
      <x:c r="H62" s="22"/>
      <x:c r="I62" s="22"/>
      <x:c r="J62" s="26"/>
      <x:c r="K62" s="22"/>
      <x:c r="L62" s="26"/>
      <x:c r="M62" s="26"/>
      <x:c r="N62" s="28"/>
      <x:c r="O62" s="26"/>
      <x:c r="P62" s="26"/>
      <x:c r="Q62" s="22"/>
      <x:c r="R62" s="22"/>
      <x:c r="S62" s="22"/>
      <x:c r="T62" s="22"/>
      <x:c r="U62" s="22" t="str">
        <x:f>IF(OR(P62="",K62="Завершён",K62="Закрыт без продукта"),"",P62-TODAY())</x:f>
      </x:c>
    </x:row>
    <x:row r="63">
      <x:c r="A63" s="22" t="str">
        <x:f>IF(C63="","","RTE-"&amp;TEXT(ROW()-2,"0000"))</x:f>
      </x:c>
      <x:c r="B63" s="22"/>
      <x:c r="C63" s="22"/>
      <x:c r="D63" s="22"/>
      <x:c r="E63" s="22"/>
      <x:c r="F63" s="22"/>
      <x:c r="G63" s="22"/>
      <x:c r="H63" s="22"/>
      <x:c r="I63" s="22"/>
      <x:c r="J63" s="26"/>
      <x:c r="K63" s="22"/>
      <x:c r="L63" s="26"/>
      <x:c r="M63" s="26"/>
      <x:c r="N63" s="28"/>
      <x:c r="O63" s="26"/>
      <x:c r="P63" s="26"/>
      <x:c r="Q63" s="22"/>
      <x:c r="R63" s="22"/>
      <x:c r="S63" s="22"/>
      <x:c r="T63" s="22"/>
      <x:c r="U63" s="22" t="str">
        <x:f>IF(OR(P63="",K63="Завершён",K63="Закрыт без продукта"),"",P63-TODAY())</x:f>
      </x:c>
    </x:row>
    <x:row r="64">
      <x:c r="A64" s="22" t="str">
        <x:f>IF(C64="","","RTE-"&amp;TEXT(ROW()-2,"0000"))</x:f>
      </x:c>
      <x:c r="B64" s="22"/>
      <x:c r="C64" s="22"/>
      <x:c r="D64" s="22"/>
      <x:c r="E64" s="22"/>
      <x:c r="F64" s="22"/>
      <x:c r="G64" s="22"/>
      <x:c r="H64" s="22"/>
      <x:c r="I64" s="22"/>
      <x:c r="J64" s="26"/>
      <x:c r="K64" s="22"/>
      <x:c r="L64" s="26"/>
      <x:c r="M64" s="26"/>
      <x:c r="N64" s="28"/>
      <x:c r="O64" s="26"/>
      <x:c r="P64" s="26"/>
      <x:c r="Q64" s="22"/>
      <x:c r="R64" s="22"/>
      <x:c r="S64" s="22"/>
      <x:c r="T64" s="22"/>
      <x:c r="U64" s="22" t="str">
        <x:f>IF(OR(P64="",K64="Завершён",K64="Закрыт без продукта"),"",P64-TODAY())</x:f>
      </x:c>
    </x:row>
    <x:row r="65">
      <x:c r="A65" s="22" t="str">
        <x:f>IF(C65="","","RTE-"&amp;TEXT(ROW()-2,"0000"))</x:f>
      </x:c>
      <x:c r="B65" s="22"/>
      <x:c r="C65" s="22"/>
      <x:c r="D65" s="22"/>
      <x:c r="E65" s="22"/>
      <x:c r="F65" s="22"/>
      <x:c r="G65" s="22"/>
      <x:c r="H65" s="22"/>
      <x:c r="I65" s="22"/>
      <x:c r="J65" s="26"/>
      <x:c r="K65" s="22"/>
      <x:c r="L65" s="26"/>
      <x:c r="M65" s="26"/>
      <x:c r="N65" s="28"/>
      <x:c r="O65" s="26"/>
      <x:c r="P65" s="26"/>
      <x:c r="Q65" s="22"/>
      <x:c r="R65" s="22"/>
      <x:c r="S65" s="22"/>
      <x:c r="T65" s="22"/>
      <x:c r="U65" s="22" t="str">
        <x:f>IF(OR(P65="",K65="Завершён",K65="Закрыт без продукта"),"",P65-TODAY())</x:f>
      </x:c>
    </x:row>
    <x:row r="66">
      <x:c r="A66" s="22" t="str">
        <x:f>IF(C66="","","RTE-"&amp;TEXT(ROW()-2,"0000"))</x:f>
      </x:c>
      <x:c r="B66" s="22"/>
      <x:c r="C66" s="22"/>
      <x:c r="D66" s="22"/>
      <x:c r="E66" s="22"/>
      <x:c r="F66" s="22"/>
      <x:c r="G66" s="22"/>
      <x:c r="H66" s="22"/>
      <x:c r="I66" s="22"/>
      <x:c r="J66" s="26"/>
      <x:c r="K66" s="22"/>
      <x:c r="L66" s="26"/>
      <x:c r="M66" s="26"/>
      <x:c r="N66" s="28"/>
      <x:c r="O66" s="26"/>
      <x:c r="P66" s="26"/>
      <x:c r="Q66" s="22"/>
      <x:c r="R66" s="22"/>
      <x:c r="S66" s="22"/>
      <x:c r="T66" s="22"/>
      <x:c r="U66" s="22" t="str">
        <x:f>IF(OR(P66="",K66="Завершён",K66="Закрыт без продукта"),"",P66-TODAY())</x:f>
      </x:c>
    </x:row>
    <x:row r="67">
      <x:c r="A67" s="22" t="str">
        <x:f>IF(C67="","","RTE-"&amp;TEXT(ROW()-2,"0000"))</x:f>
      </x:c>
      <x:c r="B67" s="22"/>
      <x:c r="C67" s="22"/>
      <x:c r="D67" s="22"/>
      <x:c r="E67" s="22"/>
      <x:c r="F67" s="22"/>
      <x:c r="G67" s="22"/>
      <x:c r="H67" s="22"/>
      <x:c r="I67" s="22"/>
      <x:c r="J67" s="26"/>
      <x:c r="K67" s="22"/>
      <x:c r="L67" s="26"/>
      <x:c r="M67" s="26"/>
      <x:c r="N67" s="28"/>
      <x:c r="O67" s="26"/>
      <x:c r="P67" s="26"/>
      <x:c r="Q67" s="22"/>
      <x:c r="R67" s="22"/>
      <x:c r="S67" s="22"/>
      <x:c r="T67" s="22"/>
      <x:c r="U67" s="22" t="str">
        <x:f>IF(OR(P67="",K67="Завершён",K67="Закрыт без продукта"),"",P67-TODAY())</x:f>
      </x:c>
    </x:row>
    <x:row r="68">
      <x:c r="A68" s="22" t="str">
        <x:f>IF(C68="","","RTE-"&amp;TEXT(ROW()-2,"0000"))</x:f>
      </x:c>
      <x:c r="B68" s="22"/>
      <x:c r="C68" s="22"/>
      <x:c r="D68" s="22"/>
      <x:c r="E68" s="22"/>
      <x:c r="F68" s="22"/>
      <x:c r="G68" s="22"/>
      <x:c r="H68" s="22"/>
      <x:c r="I68" s="22"/>
      <x:c r="J68" s="26"/>
      <x:c r="K68" s="22"/>
      <x:c r="L68" s="26"/>
      <x:c r="M68" s="26"/>
      <x:c r="N68" s="28"/>
      <x:c r="O68" s="26"/>
      <x:c r="P68" s="26"/>
      <x:c r="Q68" s="22"/>
      <x:c r="R68" s="22"/>
      <x:c r="S68" s="22"/>
      <x:c r="T68" s="22"/>
      <x:c r="U68" s="22" t="str">
        <x:f>IF(OR(P68="",K68="Завершён",K68="Закрыт без продукта"),"",P68-TODAY())</x:f>
      </x:c>
    </x:row>
    <x:row r="69">
      <x:c r="A69" s="22" t="str">
        <x:f>IF(C69="","","RTE-"&amp;TEXT(ROW()-2,"0000"))</x:f>
      </x:c>
      <x:c r="B69" s="22"/>
      <x:c r="C69" s="22"/>
      <x:c r="D69" s="22"/>
      <x:c r="E69" s="22"/>
      <x:c r="F69" s="22"/>
      <x:c r="G69" s="22"/>
      <x:c r="H69" s="22"/>
      <x:c r="I69" s="22"/>
      <x:c r="J69" s="26"/>
      <x:c r="K69" s="22"/>
      <x:c r="L69" s="26"/>
      <x:c r="M69" s="26"/>
      <x:c r="N69" s="28"/>
      <x:c r="O69" s="26"/>
      <x:c r="P69" s="26"/>
      <x:c r="Q69" s="22"/>
      <x:c r="R69" s="22"/>
      <x:c r="S69" s="22"/>
      <x:c r="T69" s="22"/>
      <x:c r="U69" s="22" t="str">
        <x:f>IF(OR(P69="",K69="Завершён",K69="Закрыт без продукта"),"",P69-TODAY())</x:f>
      </x:c>
    </x:row>
    <x:row r="70">
      <x:c r="A70" s="22" t="str">
        <x:f>IF(C70="","","RTE-"&amp;TEXT(ROW()-2,"0000"))</x:f>
      </x:c>
      <x:c r="B70" s="22"/>
      <x:c r="C70" s="22"/>
      <x:c r="D70" s="22"/>
      <x:c r="E70" s="22"/>
      <x:c r="F70" s="22"/>
      <x:c r="G70" s="22"/>
      <x:c r="H70" s="22"/>
      <x:c r="I70" s="22"/>
      <x:c r="J70" s="26"/>
      <x:c r="K70" s="22"/>
      <x:c r="L70" s="26"/>
      <x:c r="M70" s="26"/>
      <x:c r="N70" s="28"/>
      <x:c r="O70" s="26"/>
      <x:c r="P70" s="26"/>
      <x:c r="Q70" s="22"/>
      <x:c r="R70" s="22"/>
      <x:c r="S70" s="22"/>
      <x:c r="T70" s="22"/>
      <x:c r="U70" s="22" t="str">
        <x:f>IF(OR(P70="",K70="Завершён",K70="Закрыт без продукта"),"",P70-TODAY())</x:f>
      </x:c>
    </x:row>
    <x:row r="71">
      <x:c r="A71" s="22" t="str">
        <x:f>IF(C71="","","RTE-"&amp;TEXT(ROW()-2,"0000"))</x:f>
      </x:c>
      <x:c r="B71" s="22"/>
      <x:c r="C71" s="22"/>
      <x:c r="D71" s="22"/>
      <x:c r="E71" s="22"/>
      <x:c r="F71" s="22"/>
      <x:c r="G71" s="22"/>
      <x:c r="H71" s="22"/>
      <x:c r="I71" s="22"/>
      <x:c r="J71" s="26"/>
      <x:c r="K71" s="22"/>
      <x:c r="L71" s="26"/>
      <x:c r="M71" s="26"/>
      <x:c r="N71" s="28"/>
      <x:c r="O71" s="26"/>
      <x:c r="P71" s="26"/>
      <x:c r="Q71" s="22"/>
      <x:c r="R71" s="22"/>
      <x:c r="S71" s="22"/>
      <x:c r="T71" s="22"/>
      <x:c r="U71" s="22" t="str">
        <x:f>IF(OR(P71="",K71="Завершён",K71="Закрыт без продукта"),"",P71-TODAY())</x:f>
      </x:c>
    </x:row>
    <x:row r="72">
      <x:c r="A72" s="22" t="str">
        <x:f>IF(C72="","","RTE-"&amp;TEXT(ROW()-2,"0000"))</x:f>
      </x:c>
      <x:c r="B72" s="22"/>
      <x:c r="C72" s="22"/>
      <x:c r="D72" s="22"/>
      <x:c r="E72" s="22"/>
      <x:c r="F72" s="22"/>
      <x:c r="G72" s="22"/>
      <x:c r="H72" s="22"/>
      <x:c r="I72" s="22"/>
      <x:c r="J72" s="26"/>
      <x:c r="K72" s="22"/>
      <x:c r="L72" s="26"/>
      <x:c r="M72" s="26"/>
      <x:c r="N72" s="28"/>
      <x:c r="O72" s="26"/>
      <x:c r="P72" s="26"/>
      <x:c r="Q72" s="22"/>
      <x:c r="R72" s="22"/>
      <x:c r="S72" s="22"/>
      <x:c r="T72" s="22"/>
      <x:c r="U72" s="22" t="str">
        <x:f>IF(OR(P72="",K72="Завершён",K72="Закрыт без продукта"),"",P72-TODAY())</x:f>
      </x:c>
    </x:row>
    <x:row r="73">
      <x:c r="A73" s="22" t="str">
        <x:f>IF(C73="","","RTE-"&amp;TEXT(ROW()-2,"0000"))</x:f>
      </x:c>
      <x:c r="B73" s="22"/>
      <x:c r="C73" s="22"/>
      <x:c r="D73" s="22"/>
      <x:c r="E73" s="22"/>
      <x:c r="F73" s="22"/>
      <x:c r="G73" s="22"/>
      <x:c r="H73" s="22"/>
      <x:c r="I73" s="22"/>
      <x:c r="J73" s="26"/>
      <x:c r="K73" s="22"/>
      <x:c r="L73" s="26"/>
      <x:c r="M73" s="26"/>
      <x:c r="N73" s="28"/>
      <x:c r="O73" s="26"/>
      <x:c r="P73" s="26"/>
      <x:c r="Q73" s="22"/>
      <x:c r="R73" s="22"/>
      <x:c r="S73" s="22"/>
      <x:c r="T73" s="22"/>
      <x:c r="U73" s="22" t="str">
        <x:f>IF(OR(P73="",K73="Завершён",K73="Закрыт без продукта"),"",P73-TODAY())</x:f>
      </x:c>
    </x:row>
    <x:row r="74">
      <x:c r="A74" s="22" t="str">
        <x:f>IF(C74="","","RTE-"&amp;TEXT(ROW()-2,"0000"))</x:f>
      </x:c>
      <x:c r="B74" s="22"/>
      <x:c r="C74" s="22"/>
      <x:c r="D74" s="22"/>
      <x:c r="E74" s="22"/>
      <x:c r="F74" s="22"/>
      <x:c r="G74" s="22"/>
      <x:c r="H74" s="22"/>
      <x:c r="I74" s="22"/>
      <x:c r="J74" s="26"/>
      <x:c r="K74" s="22"/>
      <x:c r="L74" s="26"/>
      <x:c r="M74" s="26"/>
      <x:c r="N74" s="28"/>
      <x:c r="O74" s="26"/>
      <x:c r="P74" s="26"/>
      <x:c r="Q74" s="22"/>
      <x:c r="R74" s="22"/>
      <x:c r="S74" s="22"/>
      <x:c r="T74" s="22"/>
      <x:c r="U74" s="22" t="str">
        <x:f>IF(OR(P74="",K74="Завершён",K74="Закрыт без продукта"),"",P74-TODAY())</x:f>
      </x:c>
    </x:row>
    <x:row r="75">
      <x:c r="A75" s="22" t="str">
        <x:f>IF(C75="","","RTE-"&amp;TEXT(ROW()-2,"0000"))</x:f>
      </x:c>
      <x:c r="B75" s="22"/>
      <x:c r="C75" s="22"/>
      <x:c r="D75" s="22"/>
      <x:c r="E75" s="22"/>
      <x:c r="F75" s="22"/>
      <x:c r="G75" s="22"/>
      <x:c r="H75" s="22"/>
      <x:c r="I75" s="22"/>
      <x:c r="J75" s="26"/>
      <x:c r="K75" s="22"/>
      <x:c r="L75" s="26"/>
      <x:c r="M75" s="26"/>
      <x:c r="N75" s="28"/>
      <x:c r="O75" s="26"/>
      <x:c r="P75" s="26"/>
      <x:c r="Q75" s="22"/>
      <x:c r="R75" s="22"/>
      <x:c r="S75" s="22"/>
      <x:c r="T75" s="22"/>
      <x:c r="U75" s="22" t="str">
        <x:f>IF(OR(P75="",K75="Завершён",K75="Закрыт без продукта"),"",P75-TODAY())</x:f>
      </x:c>
    </x:row>
    <x:row r="76">
      <x:c r="A76" s="22" t="str">
        <x:f>IF(C76="","","RTE-"&amp;TEXT(ROW()-2,"0000"))</x:f>
      </x:c>
      <x:c r="B76" s="22"/>
      <x:c r="C76" s="22"/>
      <x:c r="D76" s="22"/>
      <x:c r="E76" s="22"/>
      <x:c r="F76" s="22"/>
      <x:c r="G76" s="22"/>
      <x:c r="H76" s="22"/>
      <x:c r="I76" s="22"/>
      <x:c r="J76" s="26"/>
      <x:c r="K76" s="22"/>
      <x:c r="L76" s="26"/>
      <x:c r="M76" s="26"/>
      <x:c r="N76" s="28"/>
      <x:c r="O76" s="26"/>
      <x:c r="P76" s="26"/>
      <x:c r="Q76" s="22"/>
      <x:c r="R76" s="22"/>
      <x:c r="S76" s="22"/>
      <x:c r="T76" s="22"/>
      <x:c r="U76" s="22" t="str">
        <x:f>IF(OR(P76="",K76="Завершён",K76="Закрыт без продукта"),"",P76-TODAY())</x:f>
      </x:c>
    </x:row>
    <x:row r="77">
      <x:c r="A77" s="22" t="str">
        <x:f>IF(C77="","","RTE-"&amp;TEXT(ROW()-2,"0000"))</x:f>
      </x:c>
      <x:c r="B77" s="22"/>
      <x:c r="C77" s="22"/>
      <x:c r="D77" s="22"/>
      <x:c r="E77" s="22"/>
      <x:c r="F77" s="22"/>
      <x:c r="G77" s="22"/>
      <x:c r="H77" s="22"/>
      <x:c r="I77" s="22"/>
      <x:c r="J77" s="26"/>
      <x:c r="K77" s="22"/>
      <x:c r="L77" s="26"/>
      <x:c r="M77" s="26"/>
      <x:c r="N77" s="28"/>
      <x:c r="O77" s="26"/>
      <x:c r="P77" s="26"/>
      <x:c r="Q77" s="22"/>
      <x:c r="R77" s="22"/>
      <x:c r="S77" s="22"/>
      <x:c r="T77" s="22"/>
      <x:c r="U77" s="22" t="str">
        <x:f>IF(OR(P77="",K77="Завершён",K77="Закрыт без продукта"),"",P77-TODAY())</x:f>
      </x:c>
    </x:row>
    <x:row r="78">
      <x:c r="A78" s="22" t="str">
        <x:f>IF(C78="","","RTE-"&amp;TEXT(ROW()-2,"0000"))</x:f>
      </x:c>
      <x:c r="B78" s="22"/>
      <x:c r="C78" s="22"/>
      <x:c r="D78" s="22"/>
      <x:c r="E78" s="22"/>
      <x:c r="F78" s="22"/>
      <x:c r="G78" s="22"/>
      <x:c r="H78" s="22"/>
      <x:c r="I78" s="22"/>
      <x:c r="J78" s="26"/>
      <x:c r="K78" s="22"/>
      <x:c r="L78" s="26"/>
      <x:c r="M78" s="26"/>
      <x:c r="N78" s="28"/>
      <x:c r="O78" s="26"/>
      <x:c r="P78" s="26"/>
      <x:c r="Q78" s="22"/>
      <x:c r="R78" s="22"/>
      <x:c r="S78" s="22"/>
      <x:c r="T78" s="22"/>
      <x:c r="U78" s="22" t="str">
        <x:f>IF(OR(P78="",K78="Завершён",K78="Закрыт без продукта"),"",P78-TODAY())</x:f>
      </x:c>
    </x:row>
    <x:row r="79">
      <x:c r="A79" s="22" t="str">
        <x:f>IF(C79="","","RTE-"&amp;TEXT(ROW()-2,"0000"))</x:f>
      </x:c>
      <x:c r="B79" s="22"/>
      <x:c r="C79" s="22"/>
      <x:c r="D79" s="22"/>
      <x:c r="E79" s="22"/>
      <x:c r="F79" s="22"/>
      <x:c r="G79" s="22"/>
      <x:c r="H79" s="22"/>
      <x:c r="I79" s="22"/>
      <x:c r="J79" s="26"/>
      <x:c r="K79" s="22"/>
      <x:c r="L79" s="26"/>
      <x:c r="M79" s="26"/>
      <x:c r="N79" s="28"/>
      <x:c r="O79" s="26"/>
      <x:c r="P79" s="26"/>
      <x:c r="Q79" s="22"/>
      <x:c r="R79" s="22"/>
      <x:c r="S79" s="22"/>
      <x:c r="T79" s="22"/>
      <x:c r="U79" s="22" t="str">
        <x:f>IF(OR(P79="",K79="Завершён",K79="Закрыт без продукта"),"",P79-TODAY())</x:f>
      </x:c>
    </x:row>
    <x:row r="80">
      <x:c r="A80" s="22" t="str">
        <x:f>IF(C80="","","RTE-"&amp;TEXT(ROW()-2,"0000"))</x:f>
      </x:c>
      <x:c r="B80" s="22"/>
      <x:c r="C80" s="22"/>
      <x:c r="D80" s="22"/>
      <x:c r="E80" s="22"/>
      <x:c r="F80" s="22"/>
      <x:c r="G80" s="22"/>
      <x:c r="H80" s="22"/>
      <x:c r="I80" s="22"/>
      <x:c r="J80" s="26"/>
      <x:c r="K80" s="22"/>
      <x:c r="L80" s="26"/>
      <x:c r="M80" s="26"/>
      <x:c r="N80" s="28"/>
      <x:c r="O80" s="26"/>
      <x:c r="P80" s="26"/>
      <x:c r="Q80" s="22"/>
      <x:c r="R80" s="22"/>
      <x:c r="S80" s="22"/>
      <x:c r="T80" s="22"/>
      <x:c r="U80" s="22" t="str">
        <x:f>IF(OR(P80="",K80="Завершён",K80="Закрыт без продукта"),"",P80-TODAY())</x:f>
      </x:c>
    </x:row>
    <x:row r="81">
      <x:c r="A81" s="22" t="str">
        <x:f>IF(C81="","","RTE-"&amp;TEXT(ROW()-2,"0000"))</x:f>
      </x:c>
      <x:c r="B81" s="22"/>
      <x:c r="C81" s="22"/>
      <x:c r="D81" s="22"/>
      <x:c r="E81" s="22"/>
      <x:c r="F81" s="22"/>
      <x:c r="G81" s="22"/>
      <x:c r="H81" s="22"/>
      <x:c r="I81" s="22"/>
      <x:c r="J81" s="26"/>
      <x:c r="K81" s="22"/>
      <x:c r="L81" s="26"/>
      <x:c r="M81" s="26"/>
      <x:c r="N81" s="28"/>
      <x:c r="O81" s="26"/>
      <x:c r="P81" s="26"/>
      <x:c r="Q81" s="22"/>
      <x:c r="R81" s="22"/>
      <x:c r="S81" s="22"/>
      <x:c r="T81" s="22"/>
      <x:c r="U81" s="22" t="str">
        <x:f>IF(OR(P81="",K81="Завершён",K81="Закрыт без продукта"),"",P81-TODAY())</x:f>
      </x:c>
    </x:row>
    <x:row r="82">
      <x:c r="A82" s="22" t="str">
        <x:f>IF(C82="","","RTE-"&amp;TEXT(ROW()-2,"0000"))</x:f>
      </x:c>
      <x:c r="B82" s="22"/>
      <x:c r="C82" s="22"/>
      <x:c r="D82" s="22"/>
      <x:c r="E82" s="22"/>
      <x:c r="F82" s="22"/>
      <x:c r="G82" s="22"/>
      <x:c r="H82" s="22"/>
      <x:c r="I82" s="22"/>
      <x:c r="J82" s="26"/>
      <x:c r="K82" s="22"/>
      <x:c r="L82" s="26"/>
      <x:c r="M82" s="26"/>
      <x:c r="N82" s="28"/>
      <x:c r="O82" s="26"/>
      <x:c r="P82" s="26"/>
      <x:c r="Q82" s="22"/>
      <x:c r="R82" s="22"/>
      <x:c r="S82" s="22"/>
      <x:c r="T82" s="22"/>
      <x:c r="U82" s="22" t="str">
        <x:f>IF(OR(P82="",K82="Завершён",K82="Закрыт без продукта"),"",P82-TODAY())</x:f>
      </x:c>
    </x:row>
    <x:row r="83">
      <x:c r="A83" s="22" t="str">
        <x:f>IF(C83="","","RTE-"&amp;TEXT(ROW()-2,"0000"))</x:f>
      </x:c>
      <x:c r="B83" s="22"/>
      <x:c r="C83" s="22"/>
      <x:c r="D83" s="22"/>
      <x:c r="E83" s="22"/>
      <x:c r="F83" s="22"/>
      <x:c r="G83" s="22"/>
      <x:c r="H83" s="22"/>
      <x:c r="I83" s="22"/>
      <x:c r="J83" s="26"/>
      <x:c r="K83" s="22"/>
      <x:c r="L83" s="26"/>
      <x:c r="M83" s="26"/>
      <x:c r="N83" s="28"/>
      <x:c r="O83" s="26"/>
      <x:c r="P83" s="26"/>
      <x:c r="Q83" s="22"/>
      <x:c r="R83" s="22"/>
      <x:c r="S83" s="22"/>
      <x:c r="T83" s="22"/>
      <x:c r="U83" s="22" t="str">
        <x:f>IF(OR(P83="",K83="Завершён",K83="Закрыт без продукта"),"",P83-TODAY())</x:f>
      </x:c>
    </x:row>
    <x:row r="84">
      <x:c r="A84" s="22" t="str">
        <x:f>IF(C84="","","RTE-"&amp;TEXT(ROW()-2,"0000"))</x:f>
      </x:c>
      <x:c r="B84" s="22"/>
      <x:c r="C84" s="22"/>
      <x:c r="D84" s="22"/>
      <x:c r="E84" s="22"/>
      <x:c r="F84" s="22"/>
      <x:c r="G84" s="22"/>
      <x:c r="H84" s="22"/>
      <x:c r="I84" s="22"/>
      <x:c r="J84" s="26"/>
      <x:c r="K84" s="22"/>
      <x:c r="L84" s="26"/>
      <x:c r="M84" s="26"/>
      <x:c r="N84" s="28"/>
      <x:c r="O84" s="26"/>
      <x:c r="P84" s="26"/>
      <x:c r="Q84" s="22"/>
      <x:c r="R84" s="22"/>
      <x:c r="S84" s="22"/>
      <x:c r="T84" s="22"/>
      <x:c r="U84" s="22" t="str">
        <x:f>IF(OR(P84="",K84="Завершён",K84="Закрыт без продукта"),"",P84-TODAY())</x:f>
      </x:c>
    </x:row>
    <x:row r="85">
      <x:c r="A85" s="22" t="str">
        <x:f>IF(C85="","","RTE-"&amp;TEXT(ROW()-2,"0000"))</x:f>
      </x:c>
      <x:c r="B85" s="22"/>
      <x:c r="C85" s="22"/>
      <x:c r="D85" s="22"/>
      <x:c r="E85" s="22"/>
      <x:c r="F85" s="22"/>
      <x:c r="G85" s="22"/>
      <x:c r="H85" s="22"/>
      <x:c r="I85" s="22"/>
      <x:c r="J85" s="26"/>
      <x:c r="K85" s="22"/>
      <x:c r="L85" s="26"/>
      <x:c r="M85" s="26"/>
      <x:c r="N85" s="28"/>
      <x:c r="O85" s="26"/>
      <x:c r="P85" s="26"/>
      <x:c r="Q85" s="22"/>
      <x:c r="R85" s="22"/>
      <x:c r="S85" s="22"/>
      <x:c r="T85" s="22"/>
      <x:c r="U85" s="22" t="str">
        <x:f>IF(OR(P85="",K85="Завершён",K85="Закрыт без продукта"),"",P85-TODAY())</x:f>
      </x:c>
    </x:row>
    <x:row r="86">
      <x:c r="A86" s="22" t="str">
        <x:f>IF(C86="","","RTE-"&amp;TEXT(ROW()-2,"0000"))</x:f>
      </x:c>
      <x:c r="B86" s="22"/>
      <x:c r="C86" s="22"/>
      <x:c r="D86" s="22"/>
      <x:c r="E86" s="22"/>
      <x:c r="F86" s="22"/>
      <x:c r="G86" s="22"/>
      <x:c r="H86" s="22"/>
      <x:c r="I86" s="22"/>
      <x:c r="J86" s="26"/>
      <x:c r="K86" s="22"/>
      <x:c r="L86" s="26"/>
      <x:c r="M86" s="26"/>
      <x:c r="N86" s="28"/>
      <x:c r="O86" s="26"/>
      <x:c r="P86" s="26"/>
      <x:c r="Q86" s="22"/>
      <x:c r="R86" s="22"/>
      <x:c r="S86" s="22"/>
      <x:c r="T86" s="22"/>
      <x:c r="U86" s="22" t="str">
        <x:f>IF(OR(P86="",K86="Завершён",K86="Закрыт без продукта"),"",P86-TODAY())</x:f>
      </x:c>
    </x:row>
    <x:row r="87">
      <x:c r="A87" s="22" t="str">
        <x:f>IF(C87="","","RTE-"&amp;TEXT(ROW()-2,"0000"))</x:f>
      </x:c>
      <x:c r="B87" s="22"/>
      <x:c r="C87" s="22"/>
      <x:c r="D87" s="22"/>
      <x:c r="E87" s="22"/>
      <x:c r="F87" s="22"/>
      <x:c r="G87" s="22"/>
      <x:c r="H87" s="22"/>
      <x:c r="I87" s="22"/>
      <x:c r="J87" s="26"/>
      <x:c r="K87" s="22"/>
      <x:c r="L87" s="26"/>
      <x:c r="M87" s="26"/>
      <x:c r="N87" s="28"/>
      <x:c r="O87" s="26"/>
      <x:c r="P87" s="26"/>
      <x:c r="Q87" s="22"/>
      <x:c r="R87" s="22"/>
      <x:c r="S87" s="22"/>
      <x:c r="T87" s="22"/>
      <x:c r="U87" s="22" t="str">
        <x:f>IF(OR(P87="",K87="Завершён",K87="Закрыт без продукта"),"",P87-TODAY())</x:f>
      </x:c>
    </x:row>
    <x:row r="88">
      <x:c r="A88" s="22" t="str">
        <x:f>IF(C88="","","RTE-"&amp;TEXT(ROW()-2,"0000"))</x:f>
      </x:c>
      <x:c r="B88" s="22"/>
      <x:c r="C88" s="22"/>
      <x:c r="D88" s="22"/>
      <x:c r="E88" s="22"/>
      <x:c r="F88" s="22"/>
      <x:c r="G88" s="22"/>
      <x:c r="H88" s="22"/>
      <x:c r="I88" s="22"/>
      <x:c r="J88" s="26"/>
      <x:c r="K88" s="22"/>
      <x:c r="L88" s="26"/>
      <x:c r="M88" s="26"/>
      <x:c r="N88" s="28"/>
      <x:c r="O88" s="26"/>
      <x:c r="P88" s="26"/>
      <x:c r="Q88" s="22"/>
      <x:c r="R88" s="22"/>
      <x:c r="S88" s="22"/>
      <x:c r="T88" s="22"/>
      <x:c r="U88" s="22" t="str">
        <x:f>IF(OR(P88="",K88="Завершён",K88="Закрыт без продукта"),"",P88-TODAY())</x:f>
      </x:c>
    </x:row>
    <x:row r="89">
      <x:c r="A89" s="22" t="str">
        <x:f>IF(C89="","","RTE-"&amp;TEXT(ROW()-2,"0000"))</x:f>
      </x:c>
      <x:c r="B89" s="22"/>
      <x:c r="C89" s="22"/>
      <x:c r="D89" s="22"/>
      <x:c r="E89" s="22"/>
      <x:c r="F89" s="22"/>
      <x:c r="G89" s="22"/>
      <x:c r="H89" s="22"/>
      <x:c r="I89" s="22"/>
      <x:c r="J89" s="26"/>
      <x:c r="K89" s="22"/>
      <x:c r="L89" s="26"/>
      <x:c r="M89" s="26"/>
      <x:c r="N89" s="28"/>
      <x:c r="O89" s="26"/>
      <x:c r="P89" s="26"/>
      <x:c r="Q89" s="22"/>
      <x:c r="R89" s="22"/>
      <x:c r="S89" s="22"/>
      <x:c r="T89" s="22"/>
      <x:c r="U89" s="22" t="str">
        <x:f>IF(OR(P89="",K89="Завершён",K89="Закрыт без продукта"),"",P89-TODAY())</x:f>
      </x:c>
    </x:row>
    <x:row r="90">
      <x:c r="A90" s="22" t="str">
        <x:f>IF(C90="","","RTE-"&amp;TEXT(ROW()-2,"0000"))</x:f>
      </x:c>
      <x:c r="B90" s="22"/>
      <x:c r="C90" s="22"/>
      <x:c r="D90" s="22"/>
      <x:c r="E90" s="22"/>
      <x:c r="F90" s="22"/>
      <x:c r="G90" s="22"/>
      <x:c r="H90" s="22"/>
      <x:c r="I90" s="22"/>
      <x:c r="J90" s="26"/>
      <x:c r="K90" s="22"/>
      <x:c r="L90" s="26"/>
      <x:c r="M90" s="26"/>
      <x:c r="N90" s="28"/>
      <x:c r="O90" s="26"/>
      <x:c r="P90" s="26"/>
      <x:c r="Q90" s="22"/>
      <x:c r="R90" s="22"/>
      <x:c r="S90" s="22"/>
      <x:c r="T90" s="22"/>
      <x:c r="U90" s="22" t="str">
        <x:f>IF(OR(P90="",K90="Завершён",K90="Закрыт без продукта"),"",P90-TODAY())</x:f>
      </x:c>
    </x:row>
    <x:row r="91">
      <x:c r="A91" s="22" t="str">
        <x:f>IF(C91="","","RTE-"&amp;TEXT(ROW()-2,"0000"))</x:f>
      </x:c>
      <x:c r="B91" s="22"/>
      <x:c r="C91" s="22"/>
      <x:c r="D91" s="22"/>
      <x:c r="E91" s="22"/>
      <x:c r="F91" s="22"/>
      <x:c r="G91" s="22"/>
      <x:c r="H91" s="22"/>
      <x:c r="I91" s="22"/>
      <x:c r="J91" s="26"/>
      <x:c r="K91" s="22"/>
      <x:c r="L91" s="26"/>
      <x:c r="M91" s="26"/>
      <x:c r="N91" s="28"/>
      <x:c r="O91" s="26"/>
      <x:c r="P91" s="26"/>
      <x:c r="Q91" s="22"/>
      <x:c r="R91" s="22"/>
      <x:c r="S91" s="22"/>
      <x:c r="T91" s="22"/>
      <x:c r="U91" s="22" t="str">
        <x:f>IF(OR(P91="",K91="Завершён",K91="Закрыт без продукта"),"",P91-TODAY())</x:f>
      </x:c>
    </x:row>
    <x:row r="92">
      <x:c r="A92" s="22" t="str">
        <x:f>IF(C92="","","RTE-"&amp;TEXT(ROW()-2,"0000"))</x:f>
      </x:c>
      <x:c r="B92" s="22"/>
      <x:c r="C92" s="22"/>
      <x:c r="D92" s="22"/>
      <x:c r="E92" s="22"/>
      <x:c r="F92" s="22"/>
      <x:c r="G92" s="22"/>
      <x:c r="H92" s="22"/>
      <x:c r="I92" s="22"/>
      <x:c r="J92" s="26"/>
      <x:c r="K92" s="22"/>
      <x:c r="L92" s="26"/>
      <x:c r="M92" s="26"/>
      <x:c r="N92" s="28"/>
      <x:c r="O92" s="26"/>
      <x:c r="P92" s="26"/>
      <x:c r="Q92" s="22"/>
      <x:c r="R92" s="22"/>
      <x:c r="S92" s="22"/>
      <x:c r="T92" s="22"/>
      <x:c r="U92" s="22" t="str">
        <x:f>IF(OR(P92="",K92="Завершён",K92="Закрыт без продукта"),"",P92-TODAY())</x:f>
      </x:c>
    </x:row>
    <x:row r="93">
      <x:c r="A93" s="22" t="str">
        <x:f>IF(C93="","","RTE-"&amp;TEXT(ROW()-2,"0000"))</x:f>
      </x:c>
      <x:c r="B93" s="22"/>
      <x:c r="C93" s="22"/>
      <x:c r="D93" s="22"/>
      <x:c r="E93" s="22"/>
      <x:c r="F93" s="22"/>
      <x:c r="G93" s="22"/>
      <x:c r="H93" s="22"/>
      <x:c r="I93" s="22"/>
      <x:c r="J93" s="26"/>
      <x:c r="K93" s="22"/>
      <x:c r="L93" s="26"/>
      <x:c r="M93" s="26"/>
      <x:c r="N93" s="28"/>
      <x:c r="O93" s="26"/>
      <x:c r="P93" s="26"/>
      <x:c r="Q93" s="22"/>
      <x:c r="R93" s="22"/>
      <x:c r="S93" s="22"/>
      <x:c r="T93" s="22"/>
      <x:c r="U93" s="22" t="str">
        <x:f>IF(OR(P93="",K93="Завершён",K93="Закрыт без продукта"),"",P93-TODAY())</x:f>
      </x:c>
    </x:row>
    <x:row r="94">
      <x:c r="A94" s="22" t="str">
        <x:f>IF(C94="","","RTE-"&amp;TEXT(ROW()-2,"0000"))</x:f>
      </x:c>
      <x:c r="B94" s="22"/>
      <x:c r="C94" s="22"/>
      <x:c r="D94" s="22"/>
      <x:c r="E94" s="22"/>
      <x:c r="F94" s="22"/>
      <x:c r="G94" s="22"/>
      <x:c r="H94" s="22"/>
      <x:c r="I94" s="22"/>
      <x:c r="J94" s="26"/>
      <x:c r="K94" s="22"/>
      <x:c r="L94" s="26"/>
      <x:c r="M94" s="26"/>
      <x:c r="N94" s="28"/>
      <x:c r="O94" s="26"/>
      <x:c r="P94" s="26"/>
      <x:c r="Q94" s="22"/>
      <x:c r="R94" s="22"/>
      <x:c r="S94" s="22"/>
      <x:c r="T94" s="22"/>
      <x:c r="U94" s="22" t="str">
        <x:f>IF(OR(P94="",K94="Завершён",K94="Закрыт без продукта"),"",P94-TODAY())</x:f>
      </x:c>
    </x:row>
    <x:row r="95">
      <x:c r="A95" s="22" t="str">
        <x:f>IF(C95="","","RTE-"&amp;TEXT(ROW()-2,"0000"))</x:f>
      </x:c>
      <x:c r="B95" s="22"/>
      <x:c r="C95" s="22"/>
      <x:c r="D95" s="22"/>
      <x:c r="E95" s="22"/>
      <x:c r="F95" s="22"/>
      <x:c r="G95" s="22"/>
      <x:c r="H95" s="22"/>
      <x:c r="I95" s="22"/>
      <x:c r="J95" s="26"/>
      <x:c r="K95" s="22"/>
      <x:c r="L95" s="26"/>
      <x:c r="M95" s="26"/>
      <x:c r="N95" s="28"/>
      <x:c r="O95" s="26"/>
      <x:c r="P95" s="26"/>
      <x:c r="Q95" s="22"/>
      <x:c r="R95" s="22"/>
      <x:c r="S95" s="22"/>
      <x:c r="T95" s="22"/>
      <x:c r="U95" s="22" t="str">
        <x:f>IF(OR(P95="",K95="Завершён",K95="Закрыт без продукта"),"",P95-TODAY())</x:f>
      </x:c>
    </x:row>
    <x:row r="96">
      <x:c r="A96" s="22" t="str">
        <x:f>IF(C96="","","RTE-"&amp;TEXT(ROW()-2,"0000"))</x:f>
      </x:c>
      <x:c r="B96" s="22"/>
      <x:c r="C96" s="22"/>
      <x:c r="D96" s="22"/>
      <x:c r="E96" s="22"/>
      <x:c r="F96" s="22"/>
      <x:c r="G96" s="22"/>
      <x:c r="H96" s="22"/>
      <x:c r="I96" s="22"/>
      <x:c r="J96" s="26"/>
      <x:c r="K96" s="22"/>
      <x:c r="L96" s="26"/>
      <x:c r="M96" s="26"/>
      <x:c r="N96" s="28"/>
      <x:c r="O96" s="26"/>
      <x:c r="P96" s="26"/>
      <x:c r="Q96" s="22"/>
      <x:c r="R96" s="22"/>
      <x:c r="S96" s="22"/>
      <x:c r="T96" s="22"/>
      <x:c r="U96" s="22" t="str">
        <x:f>IF(OR(P96="",K96="Завершён",K96="Закрыт без продукта"),"",P96-TODAY())</x:f>
      </x:c>
    </x:row>
    <x:row r="97">
      <x:c r="A97" s="22" t="str">
        <x:f>IF(C97="","","RTE-"&amp;TEXT(ROW()-2,"0000"))</x:f>
      </x:c>
      <x:c r="B97" s="22"/>
      <x:c r="C97" s="22"/>
      <x:c r="D97" s="22"/>
      <x:c r="E97" s="22"/>
      <x:c r="F97" s="22"/>
      <x:c r="G97" s="22"/>
      <x:c r="H97" s="22"/>
      <x:c r="I97" s="22"/>
      <x:c r="J97" s="26"/>
      <x:c r="K97" s="22"/>
      <x:c r="L97" s="26"/>
      <x:c r="M97" s="26"/>
      <x:c r="N97" s="28"/>
      <x:c r="O97" s="26"/>
      <x:c r="P97" s="26"/>
      <x:c r="Q97" s="22"/>
      <x:c r="R97" s="22"/>
      <x:c r="S97" s="22"/>
      <x:c r="T97" s="22"/>
      <x:c r="U97" s="22" t="str">
        <x:f>IF(OR(P97="",K97="Завершён",K97="Закрыт без продукта"),"",P97-TODAY())</x:f>
      </x:c>
    </x:row>
    <x:row r="98">
      <x:c r="A98" s="22" t="str">
        <x:f>IF(C98="","","RTE-"&amp;TEXT(ROW()-2,"0000"))</x:f>
      </x:c>
      <x:c r="B98" s="22"/>
      <x:c r="C98" s="22"/>
      <x:c r="D98" s="22"/>
      <x:c r="E98" s="22"/>
      <x:c r="F98" s="22"/>
      <x:c r="G98" s="22"/>
      <x:c r="H98" s="22"/>
      <x:c r="I98" s="22"/>
      <x:c r="J98" s="26"/>
      <x:c r="K98" s="22"/>
      <x:c r="L98" s="26"/>
      <x:c r="M98" s="26"/>
      <x:c r="N98" s="28"/>
      <x:c r="O98" s="26"/>
      <x:c r="P98" s="26"/>
      <x:c r="Q98" s="22"/>
      <x:c r="R98" s="22"/>
      <x:c r="S98" s="22"/>
      <x:c r="T98" s="22"/>
      <x:c r="U98" s="22" t="str">
        <x:f>IF(OR(P98="",K98="Завершён",K98="Закрыт без продукта"),"",P98-TODAY())</x:f>
      </x:c>
    </x:row>
    <x:row r="99">
      <x:c r="A99" s="22" t="str">
        <x:f>IF(C99="","","RTE-"&amp;TEXT(ROW()-2,"0000"))</x:f>
      </x:c>
      <x:c r="B99" s="22"/>
      <x:c r="C99" s="22"/>
      <x:c r="D99" s="22"/>
      <x:c r="E99" s="22"/>
      <x:c r="F99" s="22"/>
      <x:c r="G99" s="22"/>
      <x:c r="H99" s="22"/>
      <x:c r="I99" s="22"/>
      <x:c r="J99" s="26"/>
      <x:c r="K99" s="22"/>
      <x:c r="L99" s="26"/>
      <x:c r="M99" s="26"/>
      <x:c r="N99" s="28"/>
      <x:c r="O99" s="26"/>
      <x:c r="P99" s="26"/>
      <x:c r="Q99" s="22"/>
      <x:c r="R99" s="22"/>
      <x:c r="S99" s="22"/>
      <x:c r="T99" s="22"/>
      <x:c r="U99" s="22" t="str">
        <x:f>IF(OR(P99="",K99="Завершён",K99="Закрыт без продукта"),"",P99-TODAY())</x:f>
      </x:c>
    </x:row>
    <x:row r="100">
      <x:c r="A100" s="22" t="str">
        <x:f>IF(C100="","","RTE-"&amp;TEXT(ROW()-2,"0000"))</x:f>
      </x:c>
      <x:c r="B100" s="22"/>
      <x:c r="C100" s="22"/>
      <x:c r="D100" s="22"/>
      <x:c r="E100" s="22"/>
      <x:c r="F100" s="22"/>
      <x:c r="G100" s="22"/>
      <x:c r="H100" s="22"/>
      <x:c r="I100" s="22"/>
      <x:c r="J100" s="26"/>
      <x:c r="K100" s="22"/>
      <x:c r="L100" s="26"/>
      <x:c r="M100" s="26"/>
      <x:c r="N100" s="28"/>
      <x:c r="O100" s="26"/>
      <x:c r="P100" s="26"/>
      <x:c r="Q100" s="22"/>
      <x:c r="R100" s="22"/>
      <x:c r="S100" s="22"/>
      <x:c r="T100" s="22"/>
      <x:c r="U100" s="22" t="str">
        <x:f>IF(OR(P100="",K100="Завершён",K100="Закрыт без продукта"),"",P100-TODAY())</x:f>
      </x:c>
    </x:row>
    <x:row r="101">
      <x:c r="A101" s="22" t="str">
        <x:f>IF(C101="","","RTE-"&amp;TEXT(ROW()-2,"0000"))</x:f>
      </x:c>
      <x:c r="B101" s="22"/>
      <x:c r="C101" s="22"/>
      <x:c r="D101" s="22"/>
      <x:c r="E101" s="22"/>
      <x:c r="F101" s="22"/>
      <x:c r="G101" s="22"/>
      <x:c r="H101" s="22"/>
      <x:c r="I101" s="22"/>
      <x:c r="J101" s="26"/>
      <x:c r="K101" s="22"/>
      <x:c r="L101" s="26"/>
      <x:c r="M101" s="26"/>
      <x:c r="N101" s="28"/>
      <x:c r="O101" s="26"/>
      <x:c r="P101" s="26"/>
      <x:c r="Q101" s="22"/>
      <x:c r="R101" s="22"/>
      <x:c r="S101" s="22"/>
      <x:c r="T101" s="22"/>
      <x:c r="U101" s="22" t="str">
        <x:f>IF(OR(P101="",K101="Завершён",K101="Закрыт без продукта"),"",P101-TODAY())</x:f>
      </x:c>
    </x:row>
    <x:row r="102">
      <x:c r="A102" s="22" t="str">
        <x:f>IF(C102="","","RTE-"&amp;TEXT(ROW()-2,"0000"))</x:f>
      </x:c>
      <x:c r="B102" s="22"/>
      <x:c r="C102" s="22"/>
      <x:c r="D102" s="22"/>
      <x:c r="E102" s="22"/>
      <x:c r="F102" s="22"/>
      <x:c r="G102" s="22"/>
      <x:c r="H102" s="22"/>
      <x:c r="I102" s="22"/>
      <x:c r="J102" s="26"/>
      <x:c r="K102" s="22"/>
      <x:c r="L102" s="26"/>
      <x:c r="M102" s="26"/>
      <x:c r="N102" s="28"/>
      <x:c r="O102" s="26"/>
      <x:c r="P102" s="26"/>
      <x:c r="Q102" s="22"/>
      <x:c r="R102" s="22"/>
      <x:c r="S102" s="22"/>
      <x:c r="T102" s="22"/>
      <x:c r="U102" s="22" t="str">
        <x:f>IF(OR(P102="",K102="Завершён",K102="Закрыт без продукта"),"",P102-TODAY())</x:f>
      </x:c>
    </x:row>
    <x:row r="103">
      <x:c r="A103" s="22" t="str">
        <x:f>IF(C103="","","RTE-"&amp;TEXT(ROW()-2,"0000"))</x:f>
      </x:c>
      <x:c r="B103" s="22"/>
      <x:c r="C103" s="22"/>
      <x:c r="D103" s="22"/>
      <x:c r="E103" s="22"/>
      <x:c r="F103" s="22"/>
      <x:c r="G103" s="22"/>
      <x:c r="H103" s="22"/>
      <x:c r="I103" s="22"/>
      <x:c r="J103" s="26"/>
      <x:c r="K103" s="22"/>
      <x:c r="L103" s="26"/>
      <x:c r="M103" s="26"/>
      <x:c r="N103" s="28"/>
      <x:c r="O103" s="26"/>
      <x:c r="P103" s="26"/>
      <x:c r="Q103" s="22"/>
      <x:c r="R103" s="22"/>
      <x:c r="S103" s="22"/>
      <x:c r="T103" s="22"/>
      <x:c r="U103" s="22" t="str">
        <x:f>IF(OR(P103="",K103="Завершён",K103="Закрыт без продукта"),"",P103-TODAY())</x:f>
      </x:c>
    </x:row>
    <x:row r="104">
      <x:c r="A104" s="22" t="str">
        <x:f>IF(C104="","","RTE-"&amp;TEXT(ROW()-2,"0000"))</x:f>
      </x:c>
      <x:c r="B104" s="22"/>
      <x:c r="C104" s="22"/>
      <x:c r="D104" s="22"/>
      <x:c r="E104" s="22"/>
      <x:c r="F104" s="22"/>
      <x:c r="G104" s="22"/>
      <x:c r="H104" s="22"/>
      <x:c r="I104" s="22"/>
      <x:c r="J104" s="26"/>
      <x:c r="K104" s="22"/>
      <x:c r="L104" s="26"/>
      <x:c r="M104" s="26"/>
      <x:c r="N104" s="28"/>
      <x:c r="O104" s="26"/>
      <x:c r="P104" s="26"/>
      <x:c r="Q104" s="22"/>
      <x:c r="R104" s="22"/>
      <x:c r="S104" s="22"/>
      <x:c r="T104" s="22"/>
      <x:c r="U104" s="22" t="str">
        <x:f>IF(OR(P104="",K104="Завершён",K104="Закрыт без продукта"),"",P104-TODAY())</x:f>
      </x:c>
    </x:row>
    <x:row r="105">
      <x:c r="A105" s="22" t="str">
        <x:f>IF(C105="","","RTE-"&amp;TEXT(ROW()-2,"0000"))</x:f>
      </x:c>
      <x:c r="B105" s="22"/>
      <x:c r="C105" s="22"/>
      <x:c r="D105" s="22"/>
      <x:c r="E105" s="22"/>
      <x:c r="F105" s="22"/>
      <x:c r="G105" s="22"/>
      <x:c r="H105" s="22"/>
      <x:c r="I105" s="22"/>
      <x:c r="J105" s="26"/>
      <x:c r="K105" s="22"/>
      <x:c r="L105" s="26"/>
      <x:c r="M105" s="26"/>
      <x:c r="N105" s="28"/>
      <x:c r="O105" s="26"/>
      <x:c r="P105" s="26"/>
      <x:c r="Q105" s="22"/>
      <x:c r="R105" s="22"/>
      <x:c r="S105" s="22"/>
      <x:c r="T105" s="22"/>
      <x:c r="U105" s="22" t="str">
        <x:f>IF(OR(P105="",K105="Завершён",K105="Закрыт без продукта"),"",P105-TODAY())</x:f>
      </x:c>
    </x:row>
    <x:row r="106">
      <x:c r="A106" s="22" t="str">
        <x:f>IF(C106="","","RTE-"&amp;TEXT(ROW()-2,"0000"))</x:f>
      </x:c>
      <x:c r="B106" s="22"/>
      <x:c r="C106" s="22"/>
      <x:c r="D106" s="22"/>
      <x:c r="E106" s="22"/>
      <x:c r="F106" s="22"/>
      <x:c r="G106" s="22"/>
      <x:c r="H106" s="22"/>
      <x:c r="I106" s="22"/>
      <x:c r="J106" s="26"/>
      <x:c r="K106" s="22"/>
      <x:c r="L106" s="26"/>
      <x:c r="M106" s="26"/>
      <x:c r="N106" s="28"/>
      <x:c r="O106" s="26"/>
      <x:c r="P106" s="26"/>
      <x:c r="Q106" s="22"/>
      <x:c r="R106" s="22"/>
      <x:c r="S106" s="22"/>
      <x:c r="T106" s="22"/>
      <x:c r="U106" s="22" t="str">
        <x:f>IF(OR(P106="",K106="Завершён",K106="Закрыт без продукта"),"",P106-TODAY())</x:f>
      </x:c>
    </x:row>
    <x:row r="107">
      <x:c r="A107" s="22" t="str">
        <x:f>IF(C107="","","RTE-"&amp;TEXT(ROW()-2,"0000"))</x:f>
      </x:c>
      <x:c r="B107" s="22"/>
      <x:c r="C107" s="22"/>
      <x:c r="D107" s="22"/>
      <x:c r="E107" s="22"/>
      <x:c r="F107" s="22"/>
      <x:c r="G107" s="22"/>
      <x:c r="H107" s="22"/>
      <x:c r="I107" s="22"/>
      <x:c r="J107" s="26"/>
      <x:c r="K107" s="22"/>
      <x:c r="L107" s="26"/>
      <x:c r="M107" s="26"/>
      <x:c r="N107" s="28"/>
      <x:c r="O107" s="26"/>
      <x:c r="P107" s="26"/>
      <x:c r="Q107" s="22"/>
      <x:c r="R107" s="22"/>
      <x:c r="S107" s="22"/>
      <x:c r="T107" s="22"/>
      <x:c r="U107" s="22" t="str">
        <x:f>IF(OR(P107="",K107="Завершён",K107="Закрыт без продукта"),"",P107-TODAY())</x:f>
      </x:c>
    </x:row>
    <x:row r="108">
      <x:c r="A108" s="22" t="str">
        <x:f>IF(C108="","","RTE-"&amp;TEXT(ROW()-2,"0000"))</x:f>
      </x:c>
      <x:c r="B108" s="22"/>
      <x:c r="C108" s="22"/>
      <x:c r="D108" s="22"/>
      <x:c r="E108" s="22"/>
      <x:c r="F108" s="22"/>
      <x:c r="G108" s="22"/>
      <x:c r="H108" s="22"/>
      <x:c r="I108" s="22"/>
      <x:c r="J108" s="26"/>
      <x:c r="K108" s="22"/>
      <x:c r="L108" s="26"/>
      <x:c r="M108" s="26"/>
      <x:c r="N108" s="28"/>
      <x:c r="O108" s="26"/>
      <x:c r="P108" s="26"/>
      <x:c r="Q108" s="22"/>
      <x:c r="R108" s="22"/>
      <x:c r="S108" s="22"/>
      <x:c r="T108" s="22"/>
      <x:c r="U108" s="22" t="str">
        <x:f>IF(OR(P108="",K108="Завершён",K108="Закрыт без продукта"),"",P108-TODAY())</x:f>
      </x:c>
    </x:row>
    <x:row r="109">
      <x:c r="A109" s="22" t="str">
        <x:f>IF(C109="","","RTE-"&amp;TEXT(ROW()-2,"0000"))</x:f>
      </x:c>
      <x:c r="B109" s="22"/>
      <x:c r="C109" s="22"/>
      <x:c r="D109" s="22"/>
      <x:c r="E109" s="22"/>
      <x:c r="F109" s="22"/>
      <x:c r="G109" s="22"/>
      <x:c r="H109" s="22"/>
      <x:c r="I109" s="22"/>
      <x:c r="J109" s="26"/>
      <x:c r="K109" s="22"/>
      <x:c r="L109" s="26"/>
      <x:c r="M109" s="26"/>
      <x:c r="N109" s="28"/>
      <x:c r="O109" s="26"/>
      <x:c r="P109" s="26"/>
      <x:c r="Q109" s="22"/>
      <x:c r="R109" s="22"/>
      <x:c r="S109" s="22"/>
      <x:c r="T109" s="22"/>
      <x:c r="U109" s="22" t="str">
        <x:f>IF(OR(P109="",K109="Завершён",K109="Закрыт без продукта"),"",P109-TODAY())</x:f>
      </x:c>
    </x:row>
    <x:row r="110">
      <x:c r="A110" s="22" t="str">
        <x:f>IF(C110="","","RTE-"&amp;TEXT(ROW()-2,"0000"))</x:f>
      </x:c>
      <x:c r="B110" s="22"/>
      <x:c r="C110" s="22"/>
      <x:c r="D110" s="22"/>
      <x:c r="E110" s="22"/>
      <x:c r="F110" s="22"/>
      <x:c r="G110" s="22"/>
      <x:c r="H110" s="22"/>
      <x:c r="I110" s="22"/>
      <x:c r="J110" s="26"/>
      <x:c r="K110" s="22"/>
      <x:c r="L110" s="26"/>
      <x:c r="M110" s="26"/>
      <x:c r="N110" s="28"/>
      <x:c r="O110" s="26"/>
      <x:c r="P110" s="26"/>
      <x:c r="Q110" s="22"/>
      <x:c r="R110" s="22"/>
      <x:c r="S110" s="22"/>
      <x:c r="T110" s="22"/>
      <x:c r="U110" s="22" t="str">
        <x:f>IF(OR(P110="",K110="Завершён",K110="Закрыт без продукта"),"",P110-TODAY())</x:f>
      </x:c>
    </x:row>
    <x:row r="111">
      <x:c r="A111" s="22" t="str">
        <x:f>IF(C111="","","RTE-"&amp;TEXT(ROW()-2,"0000"))</x:f>
      </x:c>
      <x:c r="B111" s="22"/>
      <x:c r="C111" s="22"/>
      <x:c r="D111" s="22"/>
      <x:c r="E111" s="22"/>
      <x:c r="F111" s="22"/>
      <x:c r="G111" s="22"/>
      <x:c r="H111" s="22"/>
      <x:c r="I111" s="22"/>
      <x:c r="J111" s="26"/>
      <x:c r="K111" s="22"/>
      <x:c r="L111" s="26"/>
      <x:c r="M111" s="26"/>
      <x:c r="N111" s="28"/>
      <x:c r="O111" s="26"/>
      <x:c r="P111" s="26"/>
      <x:c r="Q111" s="22"/>
      <x:c r="R111" s="22"/>
      <x:c r="S111" s="22"/>
      <x:c r="T111" s="22"/>
      <x:c r="U111" s="22" t="str">
        <x:f>IF(OR(P111="",K111="Завершён",K111="Закрыт без продукта"),"",P111-TODAY())</x:f>
      </x:c>
    </x:row>
    <x:row r="112">
      <x:c r="A112" s="22" t="str">
        <x:f>IF(C112="","","RTE-"&amp;TEXT(ROW()-2,"0000"))</x:f>
      </x:c>
      <x:c r="B112" s="22"/>
      <x:c r="C112" s="22"/>
      <x:c r="D112" s="22"/>
      <x:c r="E112" s="22"/>
      <x:c r="F112" s="22"/>
      <x:c r="G112" s="22"/>
      <x:c r="H112" s="22"/>
      <x:c r="I112" s="22"/>
      <x:c r="J112" s="26"/>
      <x:c r="K112" s="22"/>
      <x:c r="L112" s="26"/>
      <x:c r="M112" s="26"/>
      <x:c r="N112" s="28"/>
      <x:c r="O112" s="26"/>
      <x:c r="P112" s="26"/>
      <x:c r="Q112" s="22"/>
      <x:c r="R112" s="22"/>
      <x:c r="S112" s="22"/>
      <x:c r="T112" s="22"/>
      <x:c r="U112" s="22" t="str">
        <x:f>IF(OR(P112="",K112="Завершён",K112="Закрыт без продукта"),"",P112-TODAY())</x:f>
      </x:c>
    </x:row>
    <x:row r="113">
      <x:c r="A113" s="22" t="str">
        <x:f>IF(C113="","","RTE-"&amp;TEXT(ROW()-2,"0000"))</x:f>
      </x:c>
      <x:c r="B113" s="22"/>
      <x:c r="C113" s="22"/>
      <x:c r="D113" s="22"/>
      <x:c r="E113" s="22"/>
      <x:c r="F113" s="22"/>
      <x:c r="G113" s="22"/>
      <x:c r="H113" s="22"/>
      <x:c r="I113" s="22"/>
      <x:c r="J113" s="26"/>
      <x:c r="K113" s="22"/>
      <x:c r="L113" s="26"/>
      <x:c r="M113" s="26"/>
      <x:c r="N113" s="28"/>
      <x:c r="O113" s="26"/>
      <x:c r="P113" s="26"/>
      <x:c r="Q113" s="22"/>
      <x:c r="R113" s="22"/>
      <x:c r="S113" s="22"/>
      <x:c r="T113" s="22"/>
      <x:c r="U113" s="22" t="str">
        <x:f>IF(OR(P113="",K113="Завершён",K113="Закрыт без продукта"),"",P113-TODAY())</x:f>
      </x:c>
    </x:row>
    <x:row r="114">
      <x:c r="A114" s="22" t="str">
        <x:f>IF(C114="","","RTE-"&amp;TEXT(ROW()-2,"0000"))</x:f>
      </x:c>
      <x:c r="B114" s="22"/>
      <x:c r="C114" s="22"/>
      <x:c r="D114" s="22"/>
      <x:c r="E114" s="22"/>
      <x:c r="F114" s="22"/>
      <x:c r="G114" s="22"/>
      <x:c r="H114" s="22"/>
      <x:c r="I114" s="22"/>
      <x:c r="J114" s="26"/>
      <x:c r="K114" s="22"/>
      <x:c r="L114" s="26"/>
      <x:c r="M114" s="26"/>
      <x:c r="N114" s="28"/>
      <x:c r="O114" s="26"/>
      <x:c r="P114" s="26"/>
      <x:c r="Q114" s="22"/>
      <x:c r="R114" s="22"/>
      <x:c r="S114" s="22"/>
      <x:c r="T114" s="22"/>
      <x:c r="U114" s="22" t="str">
        <x:f>IF(OR(P114="",K114="Завершён",K114="Закрыт без продукта"),"",P114-TODAY())</x:f>
      </x:c>
    </x:row>
    <x:row r="115">
      <x:c r="A115" s="22" t="str">
        <x:f>IF(C115="","","RTE-"&amp;TEXT(ROW()-2,"0000"))</x:f>
      </x:c>
      <x:c r="B115" s="22"/>
      <x:c r="C115" s="22"/>
      <x:c r="D115" s="22"/>
      <x:c r="E115" s="22"/>
      <x:c r="F115" s="22"/>
      <x:c r="G115" s="22"/>
      <x:c r="H115" s="22"/>
      <x:c r="I115" s="22"/>
      <x:c r="J115" s="26"/>
      <x:c r="K115" s="22"/>
      <x:c r="L115" s="26"/>
      <x:c r="M115" s="26"/>
      <x:c r="N115" s="28"/>
      <x:c r="O115" s="26"/>
      <x:c r="P115" s="26"/>
      <x:c r="Q115" s="22"/>
      <x:c r="R115" s="22"/>
      <x:c r="S115" s="22"/>
      <x:c r="T115" s="22"/>
      <x:c r="U115" s="22" t="str">
        <x:f>IF(OR(P115="",K115="Завершён",K115="Закрыт без продукта"),"",P115-TODAY())</x:f>
      </x:c>
    </x:row>
    <x:row r="116">
      <x:c r="A116" s="22" t="str">
        <x:f>IF(C116="","","RTE-"&amp;TEXT(ROW()-2,"0000"))</x:f>
      </x:c>
      <x:c r="B116" s="22"/>
      <x:c r="C116" s="22"/>
      <x:c r="D116" s="22"/>
      <x:c r="E116" s="22"/>
      <x:c r="F116" s="22"/>
      <x:c r="G116" s="22"/>
      <x:c r="H116" s="22"/>
      <x:c r="I116" s="22"/>
      <x:c r="J116" s="26"/>
      <x:c r="K116" s="22"/>
      <x:c r="L116" s="26"/>
      <x:c r="M116" s="26"/>
      <x:c r="N116" s="28"/>
      <x:c r="O116" s="26"/>
      <x:c r="P116" s="26"/>
      <x:c r="Q116" s="22"/>
      <x:c r="R116" s="22"/>
      <x:c r="S116" s="22"/>
      <x:c r="T116" s="22"/>
      <x:c r="U116" s="22" t="str">
        <x:f>IF(OR(P116="",K116="Завершён",K116="Закрыт без продукта"),"",P116-TODAY())</x:f>
      </x:c>
    </x:row>
    <x:row r="117">
      <x:c r="A117" s="22" t="str">
        <x:f>IF(C117="","","RTE-"&amp;TEXT(ROW()-2,"0000"))</x:f>
      </x:c>
      <x:c r="B117" s="22"/>
      <x:c r="C117" s="22"/>
      <x:c r="D117" s="22"/>
      <x:c r="E117" s="22"/>
      <x:c r="F117" s="22"/>
      <x:c r="G117" s="22"/>
      <x:c r="H117" s="22"/>
      <x:c r="I117" s="22"/>
      <x:c r="J117" s="26"/>
      <x:c r="K117" s="22"/>
      <x:c r="L117" s="26"/>
      <x:c r="M117" s="26"/>
      <x:c r="N117" s="28"/>
      <x:c r="O117" s="26"/>
      <x:c r="P117" s="26"/>
      <x:c r="Q117" s="22"/>
      <x:c r="R117" s="22"/>
      <x:c r="S117" s="22"/>
      <x:c r="T117" s="22"/>
      <x:c r="U117" s="22" t="str">
        <x:f>IF(OR(P117="",K117="Завершён",K117="Закрыт без продукта"),"",P117-TODAY())</x:f>
      </x:c>
    </x:row>
    <x:row r="118">
      <x:c r="A118" s="22" t="str">
        <x:f>IF(C118="","","RTE-"&amp;TEXT(ROW()-2,"0000"))</x:f>
      </x:c>
      <x:c r="B118" s="22"/>
      <x:c r="C118" s="22"/>
      <x:c r="D118" s="22"/>
      <x:c r="E118" s="22"/>
      <x:c r="F118" s="22"/>
      <x:c r="G118" s="22"/>
      <x:c r="H118" s="22"/>
      <x:c r="I118" s="22"/>
      <x:c r="J118" s="26"/>
      <x:c r="K118" s="22"/>
      <x:c r="L118" s="26"/>
      <x:c r="M118" s="26"/>
      <x:c r="N118" s="28"/>
      <x:c r="O118" s="26"/>
      <x:c r="P118" s="26"/>
      <x:c r="Q118" s="22"/>
      <x:c r="R118" s="22"/>
      <x:c r="S118" s="22"/>
      <x:c r="T118" s="22"/>
      <x:c r="U118" s="22" t="str">
        <x:f>IF(OR(P118="",K118="Завершён",K118="Закрыт без продукта"),"",P118-TODAY())</x:f>
      </x:c>
    </x:row>
    <x:row r="119">
      <x:c r="A119" s="22" t="str">
        <x:f>IF(C119="","","RTE-"&amp;TEXT(ROW()-2,"0000"))</x:f>
      </x:c>
      <x:c r="B119" s="22"/>
      <x:c r="C119" s="22"/>
      <x:c r="D119" s="22"/>
      <x:c r="E119" s="22"/>
      <x:c r="F119" s="22"/>
      <x:c r="G119" s="22"/>
      <x:c r="H119" s="22"/>
      <x:c r="I119" s="22"/>
      <x:c r="J119" s="26"/>
      <x:c r="K119" s="22"/>
      <x:c r="L119" s="26"/>
      <x:c r="M119" s="26"/>
      <x:c r="N119" s="28"/>
      <x:c r="O119" s="26"/>
      <x:c r="P119" s="26"/>
      <x:c r="Q119" s="22"/>
      <x:c r="R119" s="22"/>
      <x:c r="S119" s="22"/>
      <x:c r="T119" s="22"/>
      <x:c r="U119" s="22" t="str">
        <x:f>IF(OR(P119="",K119="Завершён",K119="Закрыт без продукта"),"",P119-TODAY())</x:f>
      </x:c>
    </x:row>
    <x:row r="120">
      <x:c r="A120" s="22" t="str">
        <x:f>IF(C120="","","RTE-"&amp;TEXT(ROW()-2,"0000"))</x:f>
      </x:c>
      <x:c r="B120" s="22"/>
      <x:c r="C120" s="22"/>
      <x:c r="D120" s="22"/>
      <x:c r="E120" s="22"/>
      <x:c r="F120" s="22"/>
      <x:c r="G120" s="22"/>
      <x:c r="H120" s="22"/>
      <x:c r="I120" s="22"/>
      <x:c r="J120" s="26"/>
      <x:c r="K120" s="22"/>
      <x:c r="L120" s="26"/>
      <x:c r="M120" s="26"/>
      <x:c r="N120" s="28"/>
      <x:c r="O120" s="26"/>
      <x:c r="P120" s="26"/>
      <x:c r="Q120" s="22"/>
      <x:c r="R120" s="22"/>
      <x:c r="S120" s="22"/>
      <x:c r="T120" s="22"/>
      <x:c r="U120" s="22" t="str">
        <x:f>IF(OR(P120="",K120="Завершён",K120="Закрыт без продукта"),"",P120-TODAY())</x:f>
      </x:c>
    </x:row>
    <x:row r="121">
      <x:c r="A121" s="22" t="str">
        <x:f>IF(C121="","","RTE-"&amp;TEXT(ROW()-2,"0000"))</x:f>
      </x:c>
      <x:c r="B121" s="22"/>
      <x:c r="C121" s="22"/>
      <x:c r="D121" s="22"/>
      <x:c r="E121" s="22"/>
      <x:c r="F121" s="22"/>
      <x:c r="G121" s="22"/>
      <x:c r="H121" s="22"/>
      <x:c r="I121" s="22"/>
      <x:c r="J121" s="26"/>
      <x:c r="K121" s="22"/>
      <x:c r="L121" s="26"/>
      <x:c r="M121" s="26"/>
      <x:c r="N121" s="28"/>
      <x:c r="O121" s="26"/>
      <x:c r="P121" s="26"/>
      <x:c r="Q121" s="22"/>
      <x:c r="R121" s="22"/>
      <x:c r="S121" s="22"/>
      <x:c r="T121" s="22"/>
      <x:c r="U121" s="22" t="str">
        <x:f>IF(OR(P121="",K121="Завершён",K121="Закрыт без продукта"),"",P121-TODAY())</x:f>
      </x:c>
    </x:row>
    <x:row r="122">
      <x:c r="A122" s="22" t="str">
        <x:f>IF(C122="","","RTE-"&amp;TEXT(ROW()-2,"0000"))</x:f>
      </x:c>
      <x:c r="B122" s="22"/>
      <x:c r="C122" s="22"/>
      <x:c r="D122" s="22"/>
      <x:c r="E122" s="22"/>
      <x:c r="F122" s="22"/>
      <x:c r="G122" s="22"/>
      <x:c r="H122" s="22"/>
      <x:c r="I122" s="22"/>
      <x:c r="J122" s="26"/>
      <x:c r="K122" s="22"/>
      <x:c r="L122" s="26"/>
      <x:c r="M122" s="26"/>
      <x:c r="N122" s="28"/>
      <x:c r="O122" s="26"/>
      <x:c r="P122" s="26"/>
      <x:c r="Q122" s="22"/>
      <x:c r="R122" s="22"/>
      <x:c r="S122" s="22"/>
      <x:c r="T122" s="22"/>
      <x:c r="U122" s="22" t="str">
        <x:f>IF(OR(P122="",K122="Завершён",K122="Закрыт без продукта"),"",P122-TODAY())</x:f>
      </x:c>
    </x:row>
    <x:row r="123">
      <x:c r="A123" s="22" t="str">
        <x:f>IF(C123="","","RTE-"&amp;TEXT(ROW()-2,"0000"))</x:f>
      </x:c>
      <x:c r="B123" s="22"/>
      <x:c r="C123" s="22"/>
      <x:c r="D123" s="22"/>
      <x:c r="E123" s="22"/>
      <x:c r="F123" s="22"/>
      <x:c r="G123" s="22"/>
      <x:c r="H123" s="22"/>
      <x:c r="I123" s="22"/>
      <x:c r="J123" s="26"/>
      <x:c r="K123" s="22"/>
      <x:c r="L123" s="26"/>
      <x:c r="M123" s="26"/>
      <x:c r="N123" s="28"/>
      <x:c r="O123" s="26"/>
      <x:c r="P123" s="26"/>
      <x:c r="Q123" s="22"/>
      <x:c r="R123" s="22"/>
      <x:c r="S123" s="22"/>
      <x:c r="T123" s="22"/>
      <x:c r="U123" s="22" t="str">
        <x:f>IF(OR(P123="",K123="Завершён",K123="Закрыт без продукта"),"",P123-TODAY())</x:f>
      </x:c>
    </x:row>
    <x:row r="124">
      <x:c r="A124" s="22" t="str">
        <x:f>IF(C124="","","RTE-"&amp;TEXT(ROW()-2,"0000"))</x:f>
      </x:c>
      <x:c r="B124" s="22"/>
      <x:c r="C124" s="22"/>
      <x:c r="D124" s="22"/>
      <x:c r="E124" s="22"/>
      <x:c r="F124" s="22"/>
      <x:c r="G124" s="22"/>
      <x:c r="H124" s="22"/>
      <x:c r="I124" s="22"/>
      <x:c r="J124" s="26"/>
      <x:c r="K124" s="22"/>
      <x:c r="L124" s="26"/>
      <x:c r="M124" s="26"/>
      <x:c r="N124" s="28"/>
      <x:c r="O124" s="26"/>
      <x:c r="P124" s="26"/>
      <x:c r="Q124" s="22"/>
      <x:c r="R124" s="22"/>
      <x:c r="S124" s="22"/>
      <x:c r="T124" s="22"/>
      <x:c r="U124" s="22" t="str">
        <x:f>IF(OR(P124="",K124="Завершён",K124="Закрыт без продукта"),"",P124-TODAY())</x:f>
      </x:c>
    </x:row>
    <x:row r="125">
      <x:c r="A125" s="22" t="str">
        <x:f>IF(C125="","","RTE-"&amp;TEXT(ROW()-2,"0000"))</x:f>
      </x:c>
      <x:c r="B125" s="22"/>
      <x:c r="C125" s="22"/>
      <x:c r="D125" s="22"/>
      <x:c r="E125" s="22"/>
      <x:c r="F125" s="22"/>
      <x:c r="G125" s="22"/>
      <x:c r="H125" s="22"/>
      <x:c r="I125" s="22"/>
      <x:c r="J125" s="26"/>
      <x:c r="K125" s="22"/>
      <x:c r="L125" s="26"/>
      <x:c r="M125" s="26"/>
      <x:c r="N125" s="28"/>
      <x:c r="O125" s="26"/>
      <x:c r="P125" s="26"/>
      <x:c r="Q125" s="22"/>
      <x:c r="R125" s="22"/>
      <x:c r="S125" s="22"/>
      <x:c r="T125" s="22"/>
      <x:c r="U125" s="22" t="str">
        <x:f>IF(OR(P125="",K125="Завершён",K125="Закрыт без продукта"),"",P125-TODAY())</x:f>
      </x:c>
    </x:row>
    <x:row r="126">
      <x:c r="A126" s="22" t="str">
        <x:f>IF(C126="","","RTE-"&amp;TEXT(ROW()-2,"0000"))</x:f>
      </x:c>
      <x:c r="B126" s="22"/>
      <x:c r="C126" s="22"/>
      <x:c r="D126" s="22"/>
      <x:c r="E126" s="22"/>
      <x:c r="F126" s="22"/>
      <x:c r="G126" s="22"/>
      <x:c r="H126" s="22"/>
      <x:c r="I126" s="22"/>
      <x:c r="J126" s="26"/>
      <x:c r="K126" s="22"/>
      <x:c r="L126" s="26"/>
      <x:c r="M126" s="26"/>
      <x:c r="N126" s="28"/>
      <x:c r="O126" s="26"/>
      <x:c r="P126" s="26"/>
      <x:c r="Q126" s="22"/>
      <x:c r="R126" s="22"/>
      <x:c r="S126" s="22"/>
      <x:c r="T126" s="22"/>
      <x:c r="U126" s="22" t="str">
        <x:f>IF(OR(P126="",K126="Завершён",K126="Закрыт без продукта"),"",P126-TODAY())</x:f>
      </x:c>
    </x:row>
    <x:row r="127">
      <x:c r="A127" s="22" t="str">
        <x:f>IF(C127="","","RTE-"&amp;TEXT(ROW()-2,"0000"))</x:f>
      </x:c>
      <x:c r="B127" s="22"/>
      <x:c r="C127" s="22"/>
      <x:c r="D127" s="22"/>
      <x:c r="E127" s="22"/>
      <x:c r="F127" s="22"/>
      <x:c r="G127" s="22"/>
      <x:c r="H127" s="22"/>
      <x:c r="I127" s="22"/>
      <x:c r="J127" s="26"/>
      <x:c r="K127" s="22"/>
      <x:c r="L127" s="26"/>
      <x:c r="M127" s="26"/>
      <x:c r="N127" s="28"/>
      <x:c r="O127" s="26"/>
      <x:c r="P127" s="26"/>
      <x:c r="Q127" s="22"/>
      <x:c r="R127" s="22"/>
      <x:c r="S127" s="22"/>
      <x:c r="T127" s="22"/>
      <x:c r="U127" s="22" t="str">
        <x:f>IF(OR(P127="",K127="Завершён",K127="Закрыт без продукта"),"",P127-TODAY())</x:f>
      </x:c>
    </x:row>
    <x:row r="128">
      <x:c r="A128" s="22" t="str">
        <x:f>IF(C128="","","RTE-"&amp;TEXT(ROW()-2,"0000"))</x:f>
      </x:c>
      <x:c r="B128" s="22"/>
      <x:c r="C128" s="22"/>
      <x:c r="D128" s="22"/>
      <x:c r="E128" s="22"/>
      <x:c r="F128" s="22"/>
      <x:c r="G128" s="22"/>
      <x:c r="H128" s="22"/>
      <x:c r="I128" s="22"/>
      <x:c r="J128" s="26"/>
      <x:c r="K128" s="22"/>
      <x:c r="L128" s="26"/>
      <x:c r="M128" s="26"/>
      <x:c r="N128" s="28"/>
      <x:c r="O128" s="26"/>
      <x:c r="P128" s="26"/>
      <x:c r="Q128" s="22"/>
      <x:c r="R128" s="22"/>
      <x:c r="S128" s="22"/>
      <x:c r="T128" s="22"/>
      <x:c r="U128" s="22" t="str">
        <x:f>IF(OR(P128="",K128="Завершён",K128="Закрыт без продукта"),"",P128-TODAY())</x:f>
      </x:c>
    </x:row>
    <x:row r="129">
      <x:c r="A129" s="22" t="str">
        <x:f>IF(C129="","","RTE-"&amp;TEXT(ROW()-2,"0000"))</x:f>
      </x:c>
      <x:c r="B129" s="22"/>
      <x:c r="C129" s="22"/>
      <x:c r="D129" s="22"/>
      <x:c r="E129" s="22"/>
      <x:c r="F129" s="22"/>
      <x:c r="G129" s="22"/>
      <x:c r="H129" s="22"/>
      <x:c r="I129" s="22"/>
      <x:c r="J129" s="26"/>
      <x:c r="K129" s="22"/>
      <x:c r="L129" s="26"/>
      <x:c r="M129" s="26"/>
      <x:c r="N129" s="28"/>
      <x:c r="O129" s="26"/>
      <x:c r="P129" s="26"/>
      <x:c r="Q129" s="22"/>
      <x:c r="R129" s="22"/>
      <x:c r="S129" s="22"/>
      <x:c r="T129" s="22"/>
      <x:c r="U129" s="22" t="str">
        <x:f>IF(OR(P129="",K129="Завершён",K129="Закрыт без продукта"),"",P129-TODAY())</x:f>
      </x:c>
    </x:row>
    <x:row r="130">
      <x:c r="A130" s="22" t="str">
        <x:f>IF(C130="","","RTE-"&amp;TEXT(ROW()-2,"0000"))</x:f>
      </x:c>
      <x:c r="B130" s="22"/>
      <x:c r="C130" s="22"/>
      <x:c r="D130" s="22"/>
      <x:c r="E130" s="22"/>
      <x:c r="F130" s="22"/>
      <x:c r="G130" s="22"/>
      <x:c r="H130" s="22"/>
      <x:c r="I130" s="22"/>
      <x:c r="J130" s="26"/>
      <x:c r="K130" s="22"/>
      <x:c r="L130" s="26"/>
      <x:c r="M130" s="26"/>
      <x:c r="N130" s="28"/>
      <x:c r="O130" s="26"/>
      <x:c r="P130" s="26"/>
      <x:c r="Q130" s="22"/>
      <x:c r="R130" s="22"/>
      <x:c r="S130" s="22"/>
      <x:c r="T130" s="22"/>
      <x:c r="U130" s="22" t="str">
        <x:f>IF(OR(P130="",K130="Завершён",K130="Закрыт без продукта"),"",P130-TODAY())</x:f>
      </x:c>
    </x:row>
    <x:row r="131">
      <x:c r="A131" s="22" t="str">
        <x:f>IF(C131="","","RTE-"&amp;TEXT(ROW()-2,"0000"))</x:f>
      </x:c>
      <x:c r="B131" s="22"/>
      <x:c r="C131" s="22"/>
      <x:c r="D131" s="22"/>
      <x:c r="E131" s="22"/>
      <x:c r="F131" s="22"/>
      <x:c r="G131" s="22"/>
      <x:c r="H131" s="22"/>
      <x:c r="I131" s="22"/>
      <x:c r="J131" s="26"/>
      <x:c r="K131" s="22"/>
      <x:c r="L131" s="26"/>
      <x:c r="M131" s="26"/>
      <x:c r="N131" s="28"/>
      <x:c r="O131" s="26"/>
      <x:c r="P131" s="26"/>
      <x:c r="Q131" s="22"/>
      <x:c r="R131" s="22"/>
      <x:c r="S131" s="22"/>
      <x:c r="T131" s="22"/>
      <x:c r="U131" s="22" t="str">
        <x:f>IF(OR(P131="",K131="Завершён",K131="Закрыт без продукта"),"",P131-TODAY())</x:f>
      </x:c>
    </x:row>
    <x:row r="132">
      <x:c r="A132" s="22" t="str">
        <x:f>IF(C132="","","RTE-"&amp;TEXT(ROW()-2,"0000"))</x:f>
      </x:c>
      <x:c r="B132" s="22"/>
      <x:c r="C132" s="22"/>
      <x:c r="D132" s="22"/>
      <x:c r="E132" s="22"/>
      <x:c r="F132" s="22"/>
      <x:c r="G132" s="22"/>
      <x:c r="H132" s="22"/>
      <x:c r="I132" s="22"/>
      <x:c r="J132" s="26"/>
      <x:c r="K132" s="22"/>
      <x:c r="L132" s="26"/>
      <x:c r="M132" s="26"/>
      <x:c r="N132" s="28"/>
      <x:c r="O132" s="26"/>
      <x:c r="P132" s="26"/>
      <x:c r="Q132" s="22"/>
      <x:c r="R132" s="22"/>
      <x:c r="S132" s="22"/>
      <x:c r="T132" s="22"/>
      <x:c r="U132" s="22" t="str">
        <x:f>IF(OR(P132="",K132="Завершён",K132="Закрыт без продукта"),"",P132-TODAY())</x:f>
      </x:c>
    </x:row>
    <x:row r="133">
      <x:c r="A133" s="22" t="str">
        <x:f>IF(C133="","","RTE-"&amp;TEXT(ROW()-2,"0000"))</x:f>
      </x:c>
      <x:c r="B133" s="22"/>
      <x:c r="C133" s="22"/>
      <x:c r="D133" s="22"/>
      <x:c r="E133" s="22"/>
      <x:c r="F133" s="22"/>
      <x:c r="G133" s="22"/>
      <x:c r="H133" s="22"/>
      <x:c r="I133" s="22"/>
      <x:c r="J133" s="26"/>
      <x:c r="K133" s="22"/>
      <x:c r="L133" s="26"/>
      <x:c r="M133" s="26"/>
      <x:c r="N133" s="28"/>
      <x:c r="O133" s="26"/>
      <x:c r="P133" s="26"/>
      <x:c r="Q133" s="22"/>
      <x:c r="R133" s="22"/>
      <x:c r="S133" s="22"/>
      <x:c r="T133" s="22"/>
      <x:c r="U133" s="22" t="str">
        <x:f>IF(OR(P133="",K133="Завершён",K133="Закрыт без продукта"),"",P133-TODAY())</x:f>
      </x:c>
    </x:row>
    <x:row r="134">
      <x:c r="A134" s="22" t="str">
        <x:f>IF(C134="","","RTE-"&amp;TEXT(ROW()-2,"0000"))</x:f>
      </x:c>
      <x:c r="B134" s="22"/>
      <x:c r="C134" s="22"/>
      <x:c r="D134" s="22"/>
      <x:c r="E134" s="22"/>
      <x:c r="F134" s="22"/>
      <x:c r="G134" s="22"/>
      <x:c r="H134" s="22"/>
      <x:c r="I134" s="22"/>
      <x:c r="J134" s="26"/>
      <x:c r="K134" s="22"/>
      <x:c r="L134" s="26"/>
      <x:c r="M134" s="26"/>
      <x:c r="N134" s="28"/>
      <x:c r="O134" s="26"/>
      <x:c r="P134" s="26"/>
      <x:c r="Q134" s="22"/>
      <x:c r="R134" s="22"/>
      <x:c r="S134" s="22"/>
      <x:c r="T134" s="22"/>
      <x:c r="U134" s="22" t="str">
        <x:f>IF(OR(P134="",K134="Завершён",K134="Закрыт без продукта"),"",P134-TODAY())</x:f>
      </x:c>
    </x:row>
    <x:row r="135">
      <x:c r="A135" s="22" t="str">
        <x:f>IF(C135="","","RTE-"&amp;TEXT(ROW()-2,"0000"))</x:f>
      </x:c>
      <x:c r="B135" s="22"/>
      <x:c r="C135" s="22"/>
      <x:c r="D135" s="22"/>
      <x:c r="E135" s="22"/>
      <x:c r="F135" s="22"/>
      <x:c r="G135" s="22"/>
      <x:c r="H135" s="22"/>
      <x:c r="I135" s="22"/>
      <x:c r="J135" s="26"/>
      <x:c r="K135" s="22"/>
      <x:c r="L135" s="26"/>
      <x:c r="M135" s="26"/>
      <x:c r="N135" s="28"/>
      <x:c r="O135" s="26"/>
      <x:c r="P135" s="26"/>
      <x:c r="Q135" s="22"/>
      <x:c r="R135" s="22"/>
      <x:c r="S135" s="22"/>
      <x:c r="T135" s="22"/>
      <x:c r="U135" s="22" t="str">
        <x:f>IF(OR(P135="",K135="Завершён",K135="Закрыт без продукта"),"",P135-TODAY())</x:f>
      </x:c>
    </x:row>
    <x:row r="136">
      <x:c r="A136" s="22" t="str">
        <x:f>IF(C136="","","RTE-"&amp;TEXT(ROW()-2,"0000"))</x:f>
      </x:c>
      <x:c r="B136" s="22"/>
      <x:c r="C136" s="22"/>
      <x:c r="D136" s="22"/>
      <x:c r="E136" s="22"/>
      <x:c r="F136" s="22"/>
      <x:c r="G136" s="22"/>
      <x:c r="H136" s="22"/>
      <x:c r="I136" s="22"/>
      <x:c r="J136" s="26"/>
      <x:c r="K136" s="22"/>
      <x:c r="L136" s="26"/>
      <x:c r="M136" s="26"/>
      <x:c r="N136" s="28"/>
      <x:c r="O136" s="26"/>
      <x:c r="P136" s="26"/>
      <x:c r="Q136" s="22"/>
      <x:c r="R136" s="22"/>
      <x:c r="S136" s="22"/>
      <x:c r="T136" s="22"/>
      <x:c r="U136" s="22" t="str">
        <x:f>IF(OR(P136="",K136="Завершён",K136="Закрыт без продукта"),"",P136-TODAY())</x:f>
      </x:c>
    </x:row>
    <x:row r="137">
      <x:c r="A137" s="22" t="str">
        <x:f>IF(C137="","","RTE-"&amp;TEXT(ROW()-2,"0000"))</x:f>
      </x:c>
      <x:c r="B137" s="22"/>
      <x:c r="C137" s="22"/>
      <x:c r="D137" s="22"/>
      <x:c r="E137" s="22"/>
      <x:c r="F137" s="22"/>
      <x:c r="G137" s="22"/>
      <x:c r="H137" s="22"/>
      <x:c r="I137" s="22"/>
      <x:c r="J137" s="26"/>
      <x:c r="K137" s="22"/>
      <x:c r="L137" s="26"/>
      <x:c r="M137" s="26"/>
      <x:c r="N137" s="28"/>
      <x:c r="O137" s="26"/>
      <x:c r="P137" s="26"/>
      <x:c r="Q137" s="22"/>
      <x:c r="R137" s="22"/>
      <x:c r="S137" s="22"/>
      <x:c r="T137" s="22"/>
      <x:c r="U137" s="22" t="str">
        <x:f>IF(OR(P137="",K137="Завершён",K137="Закрыт без продукта"),"",P137-TODAY())</x:f>
      </x:c>
    </x:row>
    <x:row r="138">
      <x:c r="A138" s="22" t="str">
        <x:f>IF(C138="","","RTE-"&amp;TEXT(ROW()-2,"0000"))</x:f>
      </x:c>
      <x:c r="B138" s="22"/>
      <x:c r="C138" s="22"/>
      <x:c r="D138" s="22"/>
      <x:c r="E138" s="22"/>
      <x:c r="F138" s="22"/>
      <x:c r="G138" s="22"/>
      <x:c r="H138" s="22"/>
      <x:c r="I138" s="22"/>
      <x:c r="J138" s="26"/>
      <x:c r="K138" s="22"/>
      <x:c r="L138" s="26"/>
      <x:c r="M138" s="26"/>
      <x:c r="N138" s="28"/>
      <x:c r="O138" s="26"/>
      <x:c r="P138" s="26"/>
      <x:c r="Q138" s="22"/>
      <x:c r="R138" s="22"/>
      <x:c r="S138" s="22"/>
      <x:c r="T138" s="22"/>
      <x:c r="U138" s="22" t="str">
        <x:f>IF(OR(P138="",K138="Завершён",K138="Закрыт без продукта"),"",P138-TODAY())</x:f>
      </x:c>
    </x:row>
    <x:row r="139">
      <x:c r="A139" s="22" t="str">
        <x:f>IF(C139="","","RTE-"&amp;TEXT(ROW()-2,"0000"))</x:f>
      </x:c>
      <x:c r="B139" s="22"/>
      <x:c r="C139" s="22"/>
      <x:c r="D139" s="22"/>
      <x:c r="E139" s="22"/>
      <x:c r="F139" s="22"/>
      <x:c r="G139" s="22"/>
      <x:c r="H139" s="22"/>
      <x:c r="I139" s="22"/>
      <x:c r="J139" s="26"/>
      <x:c r="K139" s="22"/>
      <x:c r="L139" s="26"/>
      <x:c r="M139" s="26"/>
      <x:c r="N139" s="28"/>
      <x:c r="O139" s="26"/>
      <x:c r="P139" s="26"/>
      <x:c r="Q139" s="22"/>
      <x:c r="R139" s="22"/>
      <x:c r="S139" s="22"/>
      <x:c r="T139" s="22"/>
      <x:c r="U139" s="22" t="str">
        <x:f>IF(OR(P139="",K139="Завершён",K139="Закрыт без продукта"),"",P139-TODAY())</x:f>
      </x:c>
    </x:row>
    <x:row r="140">
      <x:c r="A140" s="22" t="str">
        <x:f>IF(C140="","","RTE-"&amp;TEXT(ROW()-2,"0000"))</x:f>
      </x:c>
      <x:c r="B140" s="22"/>
      <x:c r="C140" s="22"/>
      <x:c r="D140" s="22"/>
      <x:c r="E140" s="22"/>
      <x:c r="F140" s="22"/>
      <x:c r="G140" s="22"/>
      <x:c r="H140" s="22"/>
      <x:c r="I140" s="22"/>
      <x:c r="J140" s="26"/>
      <x:c r="K140" s="22"/>
      <x:c r="L140" s="26"/>
      <x:c r="M140" s="26"/>
      <x:c r="N140" s="28"/>
      <x:c r="O140" s="26"/>
      <x:c r="P140" s="26"/>
      <x:c r="Q140" s="22"/>
      <x:c r="R140" s="22"/>
      <x:c r="S140" s="22"/>
      <x:c r="T140" s="22"/>
      <x:c r="U140" s="22" t="str">
        <x:f>IF(OR(P140="",K140="Завершён",K140="Закрыт без продукта"),"",P140-TODAY())</x:f>
      </x:c>
    </x:row>
    <x:row r="141">
      <x:c r="A141" s="22" t="str">
        <x:f>IF(C141="","","RTE-"&amp;TEXT(ROW()-2,"0000"))</x:f>
      </x:c>
      <x:c r="B141" s="22"/>
      <x:c r="C141" s="22"/>
      <x:c r="D141" s="22"/>
      <x:c r="E141" s="22"/>
      <x:c r="F141" s="22"/>
      <x:c r="G141" s="22"/>
      <x:c r="H141" s="22"/>
      <x:c r="I141" s="22"/>
      <x:c r="J141" s="26"/>
      <x:c r="K141" s="22"/>
      <x:c r="L141" s="26"/>
      <x:c r="M141" s="26"/>
      <x:c r="N141" s="28"/>
      <x:c r="O141" s="26"/>
      <x:c r="P141" s="26"/>
      <x:c r="Q141" s="22"/>
      <x:c r="R141" s="22"/>
      <x:c r="S141" s="22"/>
      <x:c r="T141" s="22"/>
      <x:c r="U141" s="22" t="str">
        <x:f>IF(OR(P141="",K141="Завершён",K141="Закрыт без продукта"),"",P141-TODAY())</x:f>
      </x:c>
    </x:row>
    <x:row r="142">
      <x:c r="A142" s="22" t="str">
        <x:f>IF(C142="","","RTE-"&amp;TEXT(ROW()-2,"0000"))</x:f>
      </x:c>
      <x:c r="B142" s="22"/>
      <x:c r="C142" s="22"/>
      <x:c r="D142" s="22"/>
      <x:c r="E142" s="22"/>
      <x:c r="F142" s="22"/>
      <x:c r="G142" s="22"/>
      <x:c r="H142" s="22"/>
      <x:c r="I142" s="22"/>
      <x:c r="J142" s="26"/>
      <x:c r="K142" s="22"/>
      <x:c r="L142" s="26"/>
      <x:c r="M142" s="26"/>
      <x:c r="N142" s="28"/>
      <x:c r="O142" s="26"/>
      <x:c r="P142" s="26"/>
      <x:c r="Q142" s="22"/>
      <x:c r="R142" s="22"/>
      <x:c r="S142" s="22"/>
      <x:c r="T142" s="22"/>
      <x:c r="U142" s="22" t="str">
        <x:f>IF(OR(P142="",K142="Завершён",K142="Закрыт без продукта"),"",P142-TODAY())</x:f>
      </x:c>
    </x:row>
    <x:row r="143">
      <x:c r="A143" s="22" t="str">
        <x:f>IF(C143="","","RTE-"&amp;TEXT(ROW()-2,"0000"))</x:f>
      </x:c>
      <x:c r="B143" s="22"/>
      <x:c r="C143" s="22"/>
      <x:c r="D143" s="22"/>
      <x:c r="E143" s="22"/>
      <x:c r="F143" s="22"/>
      <x:c r="G143" s="22"/>
      <x:c r="H143" s="22"/>
      <x:c r="I143" s="22"/>
      <x:c r="J143" s="26"/>
      <x:c r="K143" s="22"/>
      <x:c r="L143" s="26"/>
      <x:c r="M143" s="26"/>
      <x:c r="N143" s="28"/>
      <x:c r="O143" s="26"/>
      <x:c r="P143" s="26"/>
      <x:c r="Q143" s="22"/>
      <x:c r="R143" s="22"/>
      <x:c r="S143" s="22"/>
      <x:c r="T143" s="22"/>
      <x:c r="U143" s="22" t="str">
        <x:f>IF(OR(P143="",K143="Завершён",K143="Закрыт без продукта"),"",P143-TODAY())</x:f>
      </x:c>
    </x:row>
    <x:row r="144">
      <x:c r="A144" s="22" t="str">
        <x:f>IF(C144="","","RTE-"&amp;TEXT(ROW()-2,"0000"))</x:f>
      </x:c>
      <x:c r="B144" s="22"/>
      <x:c r="C144" s="22"/>
      <x:c r="D144" s="22"/>
      <x:c r="E144" s="22"/>
      <x:c r="F144" s="22"/>
      <x:c r="G144" s="22"/>
      <x:c r="H144" s="22"/>
      <x:c r="I144" s="22"/>
      <x:c r="J144" s="26"/>
      <x:c r="K144" s="22"/>
      <x:c r="L144" s="26"/>
      <x:c r="M144" s="26"/>
      <x:c r="N144" s="28"/>
      <x:c r="O144" s="26"/>
      <x:c r="P144" s="26"/>
      <x:c r="Q144" s="22"/>
      <x:c r="R144" s="22"/>
      <x:c r="S144" s="22"/>
      <x:c r="T144" s="22"/>
      <x:c r="U144" s="22" t="str">
        <x:f>IF(OR(P144="",K144="Завершён",K144="Закрыт без продукта"),"",P144-TODAY())</x:f>
      </x:c>
    </x:row>
    <x:row r="145">
      <x:c r="A145" s="22" t="str">
        <x:f>IF(C145="","","RTE-"&amp;TEXT(ROW()-2,"0000"))</x:f>
      </x:c>
      <x:c r="B145" s="22"/>
      <x:c r="C145" s="22"/>
      <x:c r="D145" s="22"/>
      <x:c r="E145" s="22"/>
      <x:c r="F145" s="22"/>
      <x:c r="G145" s="22"/>
      <x:c r="H145" s="22"/>
      <x:c r="I145" s="22"/>
      <x:c r="J145" s="26"/>
      <x:c r="K145" s="22"/>
      <x:c r="L145" s="26"/>
      <x:c r="M145" s="26"/>
      <x:c r="N145" s="28"/>
      <x:c r="O145" s="26"/>
      <x:c r="P145" s="26"/>
      <x:c r="Q145" s="22"/>
      <x:c r="R145" s="22"/>
      <x:c r="S145" s="22"/>
      <x:c r="T145" s="22"/>
      <x:c r="U145" s="22" t="str">
        <x:f>IF(OR(P145="",K145="Завершён",K145="Закрыт без продукта"),"",P145-TODAY())</x:f>
      </x:c>
    </x:row>
    <x:row r="146">
      <x:c r="A146" s="22" t="str">
        <x:f>IF(C146="","","RTE-"&amp;TEXT(ROW()-2,"0000"))</x:f>
      </x:c>
      <x:c r="B146" s="22"/>
      <x:c r="C146" s="22"/>
      <x:c r="D146" s="22"/>
      <x:c r="E146" s="22"/>
      <x:c r="F146" s="22"/>
      <x:c r="G146" s="22"/>
      <x:c r="H146" s="22"/>
      <x:c r="I146" s="22"/>
      <x:c r="J146" s="26"/>
      <x:c r="K146" s="22"/>
      <x:c r="L146" s="26"/>
      <x:c r="M146" s="26"/>
      <x:c r="N146" s="28"/>
      <x:c r="O146" s="26"/>
      <x:c r="P146" s="26"/>
      <x:c r="Q146" s="22"/>
      <x:c r="R146" s="22"/>
      <x:c r="S146" s="22"/>
      <x:c r="T146" s="22"/>
      <x:c r="U146" s="22" t="str">
        <x:f>IF(OR(P146="",K146="Завершён",K146="Закрыт без продукта"),"",P146-TODAY())</x:f>
      </x:c>
    </x:row>
    <x:row r="147">
      <x:c r="A147" s="22" t="str">
        <x:f>IF(C147="","","RTE-"&amp;TEXT(ROW()-2,"0000"))</x:f>
      </x:c>
      <x:c r="B147" s="22"/>
      <x:c r="C147" s="22"/>
      <x:c r="D147" s="22"/>
      <x:c r="E147" s="22"/>
      <x:c r="F147" s="22"/>
      <x:c r="G147" s="22"/>
      <x:c r="H147" s="22"/>
      <x:c r="I147" s="22"/>
      <x:c r="J147" s="26"/>
      <x:c r="K147" s="22"/>
      <x:c r="L147" s="26"/>
      <x:c r="M147" s="26"/>
      <x:c r="N147" s="28"/>
      <x:c r="O147" s="26"/>
      <x:c r="P147" s="26"/>
      <x:c r="Q147" s="22"/>
      <x:c r="R147" s="22"/>
      <x:c r="S147" s="22"/>
      <x:c r="T147" s="22"/>
      <x:c r="U147" s="22" t="str">
        <x:f>IF(OR(P147="",K147="Завершён",K147="Закрыт без продукта"),"",P147-TODAY())</x:f>
      </x:c>
    </x:row>
    <x:row r="148">
      <x:c r="A148" s="22" t="str">
        <x:f>IF(C148="","","RTE-"&amp;TEXT(ROW()-2,"0000"))</x:f>
      </x:c>
      <x:c r="B148" s="22"/>
      <x:c r="C148" s="22"/>
      <x:c r="D148" s="22"/>
      <x:c r="E148" s="22"/>
      <x:c r="F148" s="22"/>
      <x:c r="G148" s="22"/>
      <x:c r="H148" s="22"/>
      <x:c r="I148" s="22"/>
      <x:c r="J148" s="26"/>
      <x:c r="K148" s="22"/>
      <x:c r="L148" s="26"/>
      <x:c r="M148" s="26"/>
      <x:c r="N148" s="28"/>
      <x:c r="O148" s="26"/>
      <x:c r="P148" s="26"/>
      <x:c r="Q148" s="22"/>
      <x:c r="R148" s="22"/>
      <x:c r="S148" s="22"/>
      <x:c r="T148" s="22"/>
      <x:c r="U148" s="22" t="str">
        <x:f>IF(OR(P148="",K148="Завершён",K148="Закрыт без продукта"),"",P148-TODAY())</x:f>
      </x:c>
    </x:row>
    <x:row r="149">
      <x:c r="A149" s="22" t="str">
        <x:f>IF(C149="","","RTE-"&amp;TEXT(ROW()-2,"0000"))</x:f>
      </x:c>
      <x:c r="B149" s="22"/>
      <x:c r="C149" s="22"/>
      <x:c r="D149" s="22"/>
      <x:c r="E149" s="22"/>
      <x:c r="F149" s="22"/>
      <x:c r="G149" s="22"/>
      <x:c r="H149" s="22"/>
      <x:c r="I149" s="22"/>
      <x:c r="J149" s="26"/>
      <x:c r="K149" s="22"/>
      <x:c r="L149" s="26"/>
      <x:c r="M149" s="26"/>
      <x:c r="N149" s="28"/>
      <x:c r="O149" s="26"/>
      <x:c r="P149" s="26"/>
      <x:c r="Q149" s="22"/>
      <x:c r="R149" s="22"/>
      <x:c r="S149" s="22"/>
      <x:c r="T149" s="22"/>
      <x:c r="U149" s="22" t="str">
        <x:f>IF(OR(P149="",K149="Завершён",K149="Закрыт без продукта"),"",P149-TODAY())</x:f>
      </x:c>
    </x:row>
    <x:row r="150">
      <x:c r="A150" s="22" t="str">
        <x:f>IF(C150="","","RTE-"&amp;TEXT(ROW()-2,"0000"))</x:f>
      </x:c>
      <x:c r="B150" s="22"/>
      <x:c r="C150" s="22"/>
      <x:c r="D150" s="22"/>
      <x:c r="E150" s="22"/>
      <x:c r="F150" s="22"/>
      <x:c r="G150" s="22"/>
      <x:c r="H150" s="22"/>
      <x:c r="I150" s="22"/>
      <x:c r="J150" s="26"/>
      <x:c r="K150" s="22"/>
      <x:c r="L150" s="26"/>
      <x:c r="M150" s="26"/>
      <x:c r="N150" s="28"/>
      <x:c r="O150" s="26"/>
      <x:c r="P150" s="26"/>
      <x:c r="Q150" s="22"/>
      <x:c r="R150" s="22"/>
      <x:c r="S150" s="22"/>
      <x:c r="T150" s="22"/>
      <x:c r="U150" s="22" t="str">
        <x:f>IF(OR(P150="",K150="Завершён",K150="Закрыт без продукта"),"",P150-TODAY())</x:f>
      </x:c>
    </x:row>
    <x:row r="151">
      <x:c r="A151" s="22" t="str">
        <x:f>IF(C151="","","RTE-"&amp;TEXT(ROW()-2,"0000"))</x:f>
      </x:c>
      <x:c r="B151" s="22"/>
      <x:c r="C151" s="22"/>
      <x:c r="D151" s="22"/>
      <x:c r="E151" s="22"/>
      <x:c r="F151" s="22"/>
      <x:c r="G151" s="22"/>
      <x:c r="H151" s="22"/>
      <x:c r="I151" s="22"/>
      <x:c r="J151" s="26"/>
      <x:c r="K151" s="22"/>
      <x:c r="L151" s="26"/>
      <x:c r="M151" s="26"/>
      <x:c r="N151" s="28"/>
      <x:c r="O151" s="26"/>
      <x:c r="P151" s="26"/>
      <x:c r="Q151" s="22"/>
      <x:c r="R151" s="22"/>
      <x:c r="S151" s="22"/>
      <x:c r="T151" s="22"/>
      <x:c r="U151" s="22" t="str">
        <x:f>IF(OR(P151="",K151="Завершён",K151="Закрыт без продукта"),"",P151-TODAY())</x:f>
      </x:c>
    </x:row>
    <x:row r="152">
      <x:c r="A152" s="22" t="str">
        <x:f>IF(C152="","","RTE-"&amp;TEXT(ROW()-2,"0000"))</x:f>
      </x:c>
      <x:c r="B152" s="22"/>
      <x:c r="C152" s="22"/>
      <x:c r="D152" s="22"/>
      <x:c r="E152" s="22"/>
      <x:c r="F152" s="22"/>
      <x:c r="G152" s="22"/>
      <x:c r="H152" s="22"/>
      <x:c r="I152" s="22"/>
      <x:c r="J152" s="26"/>
      <x:c r="K152" s="22"/>
      <x:c r="L152" s="26"/>
      <x:c r="M152" s="26"/>
      <x:c r="N152" s="28"/>
      <x:c r="O152" s="26"/>
      <x:c r="P152" s="26"/>
      <x:c r="Q152" s="22"/>
      <x:c r="R152" s="22"/>
      <x:c r="S152" s="22"/>
      <x:c r="T152" s="22"/>
      <x:c r="U152" s="22" t="str">
        <x:f>IF(OR(P152="",K152="Завершён",K152="Закрыт без продукта"),"",P152-TODAY())</x:f>
      </x:c>
    </x:row>
    <x:row r="153">
      <x:c r="A153" s="22" t="str">
        <x:f>IF(C153="","","RTE-"&amp;TEXT(ROW()-2,"0000"))</x:f>
      </x:c>
      <x:c r="B153" s="22"/>
      <x:c r="C153" s="22"/>
      <x:c r="D153" s="22"/>
      <x:c r="E153" s="22"/>
      <x:c r="F153" s="22"/>
      <x:c r="G153" s="22"/>
      <x:c r="H153" s="22"/>
      <x:c r="I153" s="22"/>
      <x:c r="J153" s="26"/>
      <x:c r="K153" s="22"/>
      <x:c r="L153" s="26"/>
      <x:c r="M153" s="26"/>
      <x:c r="N153" s="28"/>
      <x:c r="O153" s="26"/>
      <x:c r="P153" s="26"/>
      <x:c r="Q153" s="22"/>
      <x:c r="R153" s="22"/>
      <x:c r="S153" s="22"/>
      <x:c r="T153" s="22"/>
      <x:c r="U153" s="22" t="str">
        <x:f>IF(OR(P153="",K153="Завершён",K153="Закрыт без продукта"),"",P153-TODAY())</x:f>
      </x:c>
    </x:row>
    <x:row r="154">
      <x:c r="A154" s="22" t="str">
        <x:f>IF(C154="","","RTE-"&amp;TEXT(ROW()-2,"0000"))</x:f>
      </x:c>
      <x:c r="B154" s="22"/>
      <x:c r="C154" s="22"/>
      <x:c r="D154" s="22"/>
      <x:c r="E154" s="22"/>
      <x:c r="F154" s="22"/>
      <x:c r="G154" s="22"/>
      <x:c r="H154" s="22"/>
      <x:c r="I154" s="22"/>
      <x:c r="J154" s="26"/>
      <x:c r="K154" s="22"/>
      <x:c r="L154" s="26"/>
      <x:c r="M154" s="26"/>
      <x:c r="N154" s="28"/>
      <x:c r="O154" s="26"/>
      <x:c r="P154" s="26"/>
      <x:c r="Q154" s="22"/>
      <x:c r="R154" s="22"/>
      <x:c r="S154" s="22"/>
      <x:c r="T154" s="22"/>
      <x:c r="U154" s="22" t="str">
        <x:f>IF(OR(P154="",K154="Завершён",K154="Закрыт без продукта"),"",P154-TODAY())</x:f>
      </x:c>
    </x:row>
    <x:row r="155">
      <x:c r="A155" s="22" t="str">
        <x:f>IF(C155="","","RTE-"&amp;TEXT(ROW()-2,"0000"))</x:f>
      </x:c>
      <x:c r="B155" s="22"/>
      <x:c r="C155" s="22"/>
      <x:c r="D155" s="22"/>
      <x:c r="E155" s="22"/>
      <x:c r="F155" s="22"/>
      <x:c r="G155" s="22"/>
      <x:c r="H155" s="22"/>
      <x:c r="I155" s="22"/>
      <x:c r="J155" s="26"/>
      <x:c r="K155" s="22"/>
      <x:c r="L155" s="26"/>
      <x:c r="M155" s="26"/>
      <x:c r="N155" s="28"/>
      <x:c r="O155" s="26"/>
      <x:c r="P155" s="26"/>
      <x:c r="Q155" s="22"/>
      <x:c r="R155" s="22"/>
      <x:c r="S155" s="22"/>
      <x:c r="T155" s="22"/>
      <x:c r="U155" s="22" t="str">
        <x:f>IF(OR(P155="",K155="Завершён",K155="Закрыт без продукта"),"",P155-TODAY())</x:f>
      </x:c>
    </x:row>
    <x:row r="156">
      <x:c r="A156" s="22" t="str">
        <x:f>IF(C156="","","RTE-"&amp;TEXT(ROW()-2,"0000"))</x:f>
      </x:c>
      <x:c r="B156" s="22"/>
      <x:c r="C156" s="22"/>
      <x:c r="D156" s="22"/>
      <x:c r="E156" s="22"/>
      <x:c r="F156" s="22"/>
      <x:c r="G156" s="22"/>
      <x:c r="H156" s="22"/>
      <x:c r="I156" s="22"/>
      <x:c r="J156" s="26"/>
      <x:c r="K156" s="22"/>
      <x:c r="L156" s="26"/>
      <x:c r="M156" s="26"/>
      <x:c r="N156" s="28"/>
      <x:c r="O156" s="26"/>
      <x:c r="P156" s="26"/>
      <x:c r="Q156" s="22"/>
      <x:c r="R156" s="22"/>
      <x:c r="S156" s="22"/>
      <x:c r="T156" s="22"/>
      <x:c r="U156" s="22" t="str">
        <x:f>IF(OR(P156="",K156="Завершён",K156="Закрыт без продукта"),"",P156-TODAY())</x:f>
      </x:c>
    </x:row>
    <x:row r="157">
      <x:c r="A157" s="22" t="str">
        <x:f>IF(C157="","","RTE-"&amp;TEXT(ROW()-2,"0000"))</x:f>
      </x:c>
      <x:c r="B157" s="22"/>
      <x:c r="C157" s="22"/>
      <x:c r="D157" s="22"/>
      <x:c r="E157" s="22"/>
      <x:c r="F157" s="22"/>
      <x:c r="G157" s="22"/>
      <x:c r="H157" s="22"/>
      <x:c r="I157" s="22"/>
      <x:c r="J157" s="26"/>
      <x:c r="K157" s="22"/>
      <x:c r="L157" s="26"/>
      <x:c r="M157" s="26"/>
      <x:c r="N157" s="28"/>
      <x:c r="O157" s="26"/>
      <x:c r="P157" s="26"/>
      <x:c r="Q157" s="22"/>
      <x:c r="R157" s="22"/>
      <x:c r="S157" s="22"/>
      <x:c r="T157" s="22"/>
      <x:c r="U157" s="22" t="str">
        <x:f>IF(OR(P157="",K157="Завершён",K157="Закрыт без продукта"),"",P157-TODAY())</x:f>
      </x:c>
    </x:row>
    <x:row r="158">
      <x:c r="A158" s="22" t="str">
        <x:f>IF(C158="","","RTE-"&amp;TEXT(ROW()-2,"0000"))</x:f>
      </x:c>
      <x:c r="B158" s="22"/>
      <x:c r="C158" s="22"/>
      <x:c r="D158" s="22"/>
      <x:c r="E158" s="22"/>
      <x:c r="F158" s="22"/>
      <x:c r="G158" s="22"/>
      <x:c r="H158" s="22"/>
      <x:c r="I158" s="22"/>
      <x:c r="J158" s="26"/>
      <x:c r="K158" s="22"/>
      <x:c r="L158" s="26"/>
      <x:c r="M158" s="26"/>
      <x:c r="N158" s="28"/>
      <x:c r="O158" s="26"/>
      <x:c r="P158" s="26"/>
      <x:c r="Q158" s="22"/>
      <x:c r="R158" s="22"/>
      <x:c r="S158" s="22"/>
      <x:c r="T158" s="22"/>
      <x:c r="U158" s="22" t="str">
        <x:f>IF(OR(P158="",K158="Завершён",K158="Закрыт без продукта"),"",P158-TODAY())</x:f>
      </x:c>
    </x:row>
    <x:row r="159">
      <x:c r="A159" s="22" t="str">
        <x:f>IF(C159="","","RTE-"&amp;TEXT(ROW()-2,"0000"))</x:f>
      </x:c>
      <x:c r="B159" s="22"/>
      <x:c r="C159" s="22"/>
      <x:c r="D159" s="22"/>
      <x:c r="E159" s="22"/>
      <x:c r="F159" s="22"/>
      <x:c r="G159" s="22"/>
      <x:c r="H159" s="22"/>
      <x:c r="I159" s="22"/>
      <x:c r="J159" s="26"/>
      <x:c r="K159" s="22"/>
      <x:c r="L159" s="26"/>
      <x:c r="M159" s="26"/>
      <x:c r="N159" s="28"/>
      <x:c r="O159" s="26"/>
      <x:c r="P159" s="26"/>
      <x:c r="Q159" s="22"/>
      <x:c r="R159" s="22"/>
      <x:c r="S159" s="22"/>
      <x:c r="T159" s="22"/>
      <x:c r="U159" s="22" t="str">
        <x:f>IF(OR(P159="",K159="Завершён",K159="Закрыт без продукта"),"",P159-TODAY())</x:f>
      </x:c>
    </x:row>
    <x:row r="160">
      <x:c r="A160" s="22" t="str">
        <x:f>IF(C160="","","RTE-"&amp;TEXT(ROW()-2,"0000"))</x:f>
      </x:c>
      <x:c r="B160" s="22"/>
      <x:c r="C160" s="22"/>
      <x:c r="D160" s="22"/>
      <x:c r="E160" s="22"/>
      <x:c r="F160" s="22"/>
      <x:c r="G160" s="22"/>
      <x:c r="H160" s="22"/>
      <x:c r="I160" s="22"/>
      <x:c r="J160" s="26"/>
      <x:c r="K160" s="22"/>
      <x:c r="L160" s="26"/>
      <x:c r="M160" s="26"/>
      <x:c r="N160" s="28"/>
      <x:c r="O160" s="26"/>
      <x:c r="P160" s="26"/>
      <x:c r="Q160" s="22"/>
      <x:c r="R160" s="22"/>
      <x:c r="S160" s="22"/>
      <x:c r="T160" s="22"/>
      <x:c r="U160" s="22" t="str">
        <x:f>IF(OR(P160="",K160="Завершён",K160="Закрыт без продукта"),"",P160-TODAY())</x:f>
      </x:c>
    </x:row>
    <x:row r="161">
      <x:c r="A161" s="22" t="str">
        <x:f>IF(C161="","","RTE-"&amp;TEXT(ROW()-2,"0000"))</x:f>
      </x:c>
      <x:c r="B161" s="22"/>
      <x:c r="C161" s="22"/>
      <x:c r="D161" s="22"/>
      <x:c r="E161" s="22"/>
      <x:c r="F161" s="22"/>
      <x:c r="G161" s="22"/>
      <x:c r="H161" s="22"/>
      <x:c r="I161" s="22"/>
      <x:c r="J161" s="26"/>
      <x:c r="K161" s="22"/>
      <x:c r="L161" s="26"/>
      <x:c r="M161" s="26"/>
      <x:c r="N161" s="28"/>
      <x:c r="O161" s="26"/>
      <x:c r="P161" s="26"/>
      <x:c r="Q161" s="22"/>
      <x:c r="R161" s="22"/>
      <x:c r="S161" s="22"/>
      <x:c r="T161" s="22"/>
      <x:c r="U161" s="22" t="str">
        <x:f>IF(OR(P161="",K161="Завершён",K161="Закрыт без продукта"),"",P161-TODAY())</x:f>
      </x:c>
    </x:row>
    <x:row r="162">
      <x:c r="A162" s="22" t="str">
        <x:f>IF(C162="","","RTE-"&amp;TEXT(ROW()-2,"0000"))</x:f>
      </x:c>
      <x:c r="B162" s="22"/>
      <x:c r="C162" s="22"/>
      <x:c r="D162" s="22"/>
      <x:c r="E162" s="22"/>
      <x:c r="F162" s="22"/>
      <x:c r="G162" s="22"/>
      <x:c r="H162" s="22"/>
      <x:c r="I162" s="22"/>
      <x:c r="J162" s="26"/>
      <x:c r="K162" s="22"/>
      <x:c r="L162" s="26"/>
      <x:c r="M162" s="26"/>
      <x:c r="N162" s="28"/>
      <x:c r="O162" s="26"/>
      <x:c r="P162" s="26"/>
      <x:c r="Q162" s="22"/>
      <x:c r="R162" s="22"/>
      <x:c r="S162" s="22"/>
      <x:c r="T162" s="22"/>
      <x:c r="U162" s="22" t="str">
        <x:f>IF(OR(P162="",K162="Завершён",K162="Закрыт без продукта"),"",P162-TODAY())</x:f>
      </x:c>
    </x:row>
    <x:row r="163">
      <x:c r="A163" s="22" t="str">
        <x:f>IF(C163="","","RTE-"&amp;TEXT(ROW()-2,"0000"))</x:f>
      </x:c>
      <x:c r="B163" s="22"/>
      <x:c r="C163" s="22"/>
      <x:c r="D163" s="22"/>
      <x:c r="E163" s="22"/>
      <x:c r="F163" s="22"/>
      <x:c r="G163" s="22"/>
      <x:c r="H163" s="22"/>
      <x:c r="I163" s="22"/>
      <x:c r="J163" s="26"/>
      <x:c r="K163" s="22"/>
      <x:c r="L163" s="26"/>
      <x:c r="M163" s="26"/>
      <x:c r="N163" s="28"/>
      <x:c r="O163" s="26"/>
      <x:c r="P163" s="26"/>
      <x:c r="Q163" s="22"/>
      <x:c r="R163" s="22"/>
      <x:c r="S163" s="22"/>
      <x:c r="T163" s="22"/>
      <x:c r="U163" s="22" t="str">
        <x:f>IF(OR(P163="",K163="Завершён",K163="Закрыт без продукта"),"",P163-TODAY())</x:f>
      </x:c>
    </x:row>
    <x:row r="164">
      <x:c r="A164" s="22" t="str">
        <x:f>IF(C164="","","RTE-"&amp;TEXT(ROW()-2,"0000"))</x:f>
      </x:c>
      <x:c r="B164" s="22"/>
      <x:c r="C164" s="22"/>
      <x:c r="D164" s="22"/>
      <x:c r="E164" s="22"/>
      <x:c r="F164" s="22"/>
      <x:c r="G164" s="22"/>
      <x:c r="H164" s="22"/>
      <x:c r="I164" s="22"/>
      <x:c r="J164" s="26"/>
      <x:c r="K164" s="22"/>
      <x:c r="L164" s="26"/>
      <x:c r="M164" s="26"/>
      <x:c r="N164" s="28"/>
      <x:c r="O164" s="26"/>
      <x:c r="P164" s="26"/>
      <x:c r="Q164" s="22"/>
      <x:c r="R164" s="22"/>
      <x:c r="S164" s="22"/>
      <x:c r="T164" s="22"/>
      <x:c r="U164" s="22" t="str">
        <x:f>IF(OR(P164="",K164="Завершён",K164="Закрыт без продукта"),"",P164-TODAY())</x:f>
      </x:c>
    </x:row>
    <x:row r="165">
      <x:c r="A165" s="22" t="str">
        <x:f>IF(C165="","","RTE-"&amp;TEXT(ROW()-2,"0000"))</x:f>
      </x:c>
      <x:c r="B165" s="22"/>
      <x:c r="C165" s="22"/>
      <x:c r="D165" s="22"/>
      <x:c r="E165" s="22"/>
      <x:c r="F165" s="22"/>
      <x:c r="G165" s="22"/>
      <x:c r="H165" s="22"/>
      <x:c r="I165" s="22"/>
      <x:c r="J165" s="26"/>
      <x:c r="K165" s="22"/>
      <x:c r="L165" s="26"/>
      <x:c r="M165" s="26"/>
      <x:c r="N165" s="28"/>
      <x:c r="O165" s="26"/>
      <x:c r="P165" s="26"/>
      <x:c r="Q165" s="22"/>
      <x:c r="R165" s="22"/>
      <x:c r="S165" s="22"/>
      <x:c r="T165" s="22"/>
      <x:c r="U165" s="22" t="str">
        <x:f>IF(OR(P165="",K165="Завершён",K165="Закрыт без продукта"),"",P165-TODAY())</x:f>
      </x:c>
    </x:row>
    <x:row r="166">
      <x:c r="A166" s="22" t="str">
        <x:f>IF(C166="","","RTE-"&amp;TEXT(ROW()-2,"0000"))</x:f>
      </x:c>
      <x:c r="B166" s="22"/>
      <x:c r="C166" s="22"/>
      <x:c r="D166" s="22"/>
      <x:c r="E166" s="22"/>
      <x:c r="F166" s="22"/>
      <x:c r="G166" s="22"/>
      <x:c r="H166" s="22"/>
      <x:c r="I166" s="22"/>
      <x:c r="J166" s="26"/>
      <x:c r="K166" s="22"/>
      <x:c r="L166" s="26"/>
      <x:c r="M166" s="26"/>
      <x:c r="N166" s="28"/>
      <x:c r="O166" s="26"/>
      <x:c r="P166" s="26"/>
      <x:c r="Q166" s="22"/>
      <x:c r="R166" s="22"/>
      <x:c r="S166" s="22"/>
      <x:c r="T166" s="22"/>
      <x:c r="U166" s="22" t="str">
        <x:f>IF(OR(P166="",K166="Завершён",K166="Закрыт без продукта"),"",P166-TODAY())</x:f>
      </x:c>
    </x:row>
    <x:row r="167">
      <x:c r="A167" s="22" t="str">
        <x:f>IF(C167="","","RTE-"&amp;TEXT(ROW()-2,"0000"))</x:f>
      </x:c>
      <x:c r="B167" s="22"/>
      <x:c r="C167" s="22"/>
      <x:c r="D167" s="22"/>
      <x:c r="E167" s="22"/>
      <x:c r="F167" s="22"/>
      <x:c r="G167" s="22"/>
      <x:c r="H167" s="22"/>
      <x:c r="I167" s="22"/>
      <x:c r="J167" s="26"/>
      <x:c r="K167" s="22"/>
      <x:c r="L167" s="26"/>
      <x:c r="M167" s="26"/>
      <x:c r="N167" s="28"/>
      <x:c r="O167" s="26"/>
      <x:c r="P167" s="26"/>
      <x:c r="Q167" s="22"/>
      <x:c r="R167" s="22"/>
      <x:c r="S167" s="22"/>
      <x:c r="T167" s="22"/>
      <x:c r="U167" s="22" t="str">
        <x:f>IF(OR(P167="",K167="Завершён",K167="Закрыт без продукта"),"",P167-TODAY())</x:f>
      </x:c>
    </x:row>
    <x:row r="168">
      <x:c r="A168" s="22" t="str">
        <x:f>IF(C168="","","RTE-"&amp;TEXT(ROW()-2,"0000"))</x:f>
      </x:c>
      <x:c r="B168" s="22"/>
      <x:c r="C168" s="22"/>
      <x:c r="D168" s="22"/>
      <x:c r="E168" s="22"/>
      <x:c r="F168" s="22"/>
      <x:c r="G168" s="22"/>
      <x:c r="H168" s="22"/>
      <x:c r="I168" s="22"/>
      <x:c r="J168" s="26"/>
      <x:c r="K168" s="22"/>
      <x:c r="L168" s="26"/>
      <x:c r="M168" s="26"/>
      <x:c r="N168" s="28"/>
      <x:c r="O168" s="26"/>
      <x:c r="P168" s="26"/>
      <x:c r="Q168" s="22"/>
      <x:c r="R168" s="22"/>
      <x:c r="S168" s="22"/>
      <x:c r="T168" s="22"/>
      <x:c r="U168" s="22" t="str">
        <x:f>IF(OR(P168="",K168="Завершён",K168="Закрыт без продукта"),"",P168-TODAY())</x:f>
      </x:c>
    </x:row>
    <x:row r="169">
      <x:c r="A169" s="22" t="str">
        <x:f>IF(C169="","","RTE-"&amp;TEXT(ROW()-2,"0000"))</x:f>
      </x:c>
      <x:c r="B169" s="22"/>
      <x:c r="C169" s="22"/>
      <x:c r="D169" s="22"/>
      <x:c r="E169" s="22"/>
      <x:c r="F169" s="22"/>
      <x:c r="G169" s="22"/>
      <x:c r="H169" s="22"/>
      <x:c r="I169" s="22"/>
      <x:c r="J169" s="26"/>
      <x:c r="K169" s="22"/>
      <x:c r="L169" s="26"/>
      <x:c r="M169" s="26"/>
      <x:c r="N169" s="28"/>
      <x:c r="O169" s="26"/>
      <x:c r="P169" s="26"/>
      <x:c r="Q169" s="22"/>
      <x:c r="R169" s="22"/>
      <x:c r="S169" s="22"/>
      <x:c r="T169" s="22"/>
      <x:c r="U169" s="22" t="str">
        <x:f>IF(OR(P169="",K169="Завершён",K169="Закрыт без продукта"),"",P169-TODAY())</x:f>
      </x:c>
    </x:row>
    <x:row r="170">
      <x:c r="A170" s="22" t="str">
        <x:f>IF(C170="","","RTE-"&amp;TEXT(ROW()-2,"0000"))</x:f>
      </x:c>
      <x:c r="B170" s="22"/>
      <x:c r="C170" s="22"/>
      <x:c r="D170" s="22"/>
      <x:c r="E170" s="22"/>
      <x:c r="F170" s="22"/>
      <x:c r="G170" s="22"/>
      <x:c r="H170" s="22"/>
      <x:c r="I170" s="22"/>
      <x:c r="J170" s="26"/>
      <x:c r="K170" s="22"/>
      <x:c r="L170" s="26"/>
      <x:c r="M170" s="26"/>
      <x:c r="N170" s="28"/>
      <x:c r="O170" s="26"/>
      <x:c r="P170" s="26"/>
      <x:c r="Q170" s="22"/>
      <x:c r="R170" s="22"/>
      <x:c r="S170" s="22"/>
      <x:c r="T170" s="22"/>
      <x:c r="U170" s="22" t="str">
        <x:f>IF(OR(P170="",K170="Завершён",K170="Закрыт без продукта"),"",P170-TODAY())</x:f>
      </x:c>
    </x:row>
    <x:row r="171">
      <x:c r="A171" s="22" t="str">
        <x:f>IF(C171="","","RTE-"&amp;TEXT(ROW()-2,"0000"))</x:f>
      </x:c>
      <x:c r="B171" s="22"/>
      <x:c r="C171" s="22"/>
      <x:c r="D171" s="22"/>
      <x:c r="E171" s="22"/>
      <x:c r="F171" s="22"/>
      <x:c r="G171" s="22"/>
      <x:c r="H171" s="22"/>
      <x:c r="I171" s="22"/>
      <x:c r="J171" s="26"/>
      <x:c r="K171" s="22"/>
      <x:c r="L171" s="26"/>
      <x:c r="M171" s="26"/>
      <x:c r="N171" s="28"/>
      <x:c r="O171" s="26"/>
      <x:c r="P171" s="26"/>
      <x:c r="Q171" s="22"/>
      <x:c r="R171" s="22"/>
      <x:c r="S171" s="22"/>
      <x:c r="T171" s="22"/>
      <x:c r="U171" s="22" t="str">
        <x:f>IF(OR(P171="",K171="Завершён",K171="Закрыт без продукта"),"",P171-TODAY())</x:f>
      </x:c>
    </x:row>
    <x:row r="172">
      <x:c r="A172" s="22" t="str">
        <x:f>IF(C172="","","RTE-"&amp;TEXT(ROW()-2,"0000"))</x:f>
      </x:c>
      <x:c r="B172" s="22"/>
      <x:c r="C172" s="22"/>
      <x:c r="D172" s="22"/>
      <x:c r="E172" s="22"/>
      <x:c r="F172" s="22"/>
      <x:c r="G172" s="22"/>
      <x:c r="H172" s="22"/>
      <x:c r="I172" s="22"/>
      <x:c r="J172" s="26"/>
      <x:c r="K172" s="22"/>
      <x:c r="L172" s="26"/>
      <x:c r="M172" s="26"/>
      <x:c r="N172" s="28"/>
      <x:c r="O172" s="26"/>
      <x:c r="P172" s="26"/>
      <x:c r="Q172" s="22"/>
      <x:c r="R172" s="22"/>
      <x:c r="S172" s="22"/>
      <x:c r="T172" s="22"/>
      <x:c r="U172" s="22" t="str">
        <x:f>IF(OR(P172="",K172="Завершён",K172="Закрыт без продукта"),"",P172-TODAY())</x:f>
      </x:c>
    </x:row>
    <x:row r="173">
      <x:c r="A173" s="22" t="str">
        <x:f>IF(C173="","","RTE-"&amp;TEXT(ROW()-2,"0000"))</x:f>
      </x:c>
      <x:c r="B173" s="22"/>
      <x:c r="C173" s="22"/>
      <x:c r="D173" s="22"/>
      <x:c r="E173" s="22"/>
      <x:c r="F173" s="22"/>
      <x:c r="G173" s="22"/>
      <x:c r="H173" s="22"/>
      <x:c r="I173" s="22"/>
      <x:c r="J173" s="26"/>
      <x:c r="K173" s="22"/>
      <x:c r="L173" s="26"/>
      <x:c r="M173" s="26"/>
      <x:c r="N173" s="28"/>
      <x:c r="O173" s="26"/>
      <x:c r="P173" s="26"/>
      <x:c r="Q173" s="22"/>
      <x:c r="R173" s="22"/>
      <x:c r="S173" s="22"/>
      <x:c r="T173" s="22"/>
      <x:c r="U173" s="22" t="str">
        <x:f>IF(OR(P173="",K173="Завершён",K173="Закрыт без продукта"),"",P173-TODAY())</x:f>
      </x:c>
    </x:row>
    <x:row r="174">
      <x:c r="A174" s="22" t="str">
        <x:f>IF(C174="","","RTE-"&amp;TEXT(ROW()-2,"0000"))</x:f>
      </x:c>
      <x:c r="B174" s="22"/>
      <x:c r="C174" s="22"/>
      <x:c r="D174" s="22"/>
      <x:c r="E174" s="22"/>
      <x:c r="F174" s="22"/>
      <x:c r="G174" s="22"/>
      <x:c r="H174" s="22"/>
      <x:c r="I174" s="22"/>
      <x:c r="J174" s="26"/>
      <x:c r="K174" s="22"/>
      <x:c r="L174" s="26"/>
      <x:c r="M174" s="26"/>
      <x:c r="N174" s="28"/>
      <x:c r="O174" s="26"/>
      <x:c r="P174" s="26"/>
      <x:c r="Q174" s="22"/>
      <x:c r="R174" s="22"/>
      <x:c r="S174" s="22"/>
      <x:c r="T174" s="22"/>
      <x:c r="U174" s="22" t="str">
        <x:f>IF(OR(P174="",K174="Завершён",K174="Закрыт без продукта"),"",P174-TODAY())</x:f>
      </x:c>
    </x:row>
    <x:row r="175">
      <x:c r="A175" s="22" t="str">
        <x:f>IF(C175="","","RTE-"&amp;TEXT(ROW()-2,"0000"))</x:f>
      </x:c>
      <x:c r="B175" s="22"/>
      <x:c r="C175" s="22"/>
      <x:c r="D175" s="22"/>
      <x:c r="E175" s="22"/>
      <x:c r="F175" s="22"/>
      <x:c r="G175" s="22"/>
      <x:c r="H175" s="22"/>
      <x:c r="I175" s="22"/>
      <x:c r="J175" s="26"/>
      <x:c r="K175" s="22"/>
      <x:c r="L175" s="26"/>
      <x:c r="M175" s="26"/>
      <x:c r="N175" s="28"/>
      <x:c r="O175" s="26"/>
      <x:c r="P175" s="26"/>
      <x:c r="Q175" s="22"/>
      <x:c r="R175" s="22"/>
      <x:c r="S175" s="22"/>
      <x:c r="T175" s="22"/>
      <x:c r="U175" s="22" t="str">
        <x:f>IF(OR(P175="",K175="Завершён",K175="Закрыт без продукта"),"",P175-TODAY())</x:f>
      </x:c>
    </x:row>
    <x:row r="176">
      <x:c r="A176" s="22" t="str">
        <x:f>IF(C176="","","RTE-"&amp;TEXT(ROW()-2,"0000"))</x:f>
      </x:c>
      <x:c r="B176" s="22"/>
      <x:c r="C176" s="22"/>
      <x:c r="D176" s="22"/>
      <x:c r="E176" s="22"/>
      <x:c r="F176" s="22"/>
      <x:c r="G176" s="22"/>
      <x:c r="H176" s="22"/>
      <x:c r="I176" s="22"/>
      <x:c r="J176" s="26"/>
      <x:c r="K176" s="22"/>
      <x:c r="L176" s="26"/>
      <x:c r="M176" s="26"/>
      <x:c r="N176" s="28"/>
      <x:c r="O176" s="26"/>
      <x:c r="P176" s="26"/>
      <x:c r="Q176" s="22"/>
      <x:c r="R176" s="22"/>
      <x:c r="S176" s="22"/>
      <x:c r="T176" s="22"/>
      <x:c r="U176" s="22" t="str">
        <x:f>IF(OR(P176="",K176="Завершён",K176="Закрыт без продукта"),"",P176-TODAY())</x:f>
      </x:c>
    </x:row>
    <x:row r="177">
      <x:c r="A177" s="22" t="str">
        <x:f>IF(C177="","","RTE-"&amp;TEXT(ROW()-2,"0000"))</x:f>
      </x:c>
      <x:c r="B177" s="22"/>
      <x:c r="C177" s="22"/>
      <x:c r="D177" s="22"/>
      <x:c r="E177" s="22"/>
      <x:c r="F177" s="22"/>
      <x:c r="G177" s="22"/>
      <x:c r="H177" s="22"/>
      <x:c r="I177" s="22"/>
      <x:c r="J177" s="26"/>
      <x:c r="K177" s="22"/>
      <x:c r="L177" s="26"/>
      <x:c r="M177" s="26"/>
      <x:c r="N177" s="28"/>
      <x:c r="O177" s="26"/>
      <x:c r="P177" s="26"/>
      <x:c r="Q177" s="22"/>
      <x:c r="R177" s="22"/>
      <x:c r="S177" s="22"/>
      <x:c r="T177" s="22"/>
      <x:c r="U177" s="22" t="str">
        <x:f>IF(OR(P177="",K177="Завершён",K177="Закрыт без продукта"),"",P177-TODAY())</x:f>
      </x:c>
    </x:row>
    <x:row r="178">
      <x:c r="A178" s="22" t="str">
        <x:f>IF(C178="","","RTE-"&amp;TEXT(ROW()-2,"0000"))</x:f>
      </x:c>
      <x:c r="B178" s="22"/>
      <x:c r="C178" s="22"/>
      <x:c r="D178" s="22"/>
      <x:c r="E178" s="22"/>
      <x:c r="F178" s="22"/>
      <x:c r="G178" s="22"/>
      <x:c r="H178" s="22"/>
      <x:c r="I178" s="22"/>
      <x:c r="J178" s="26"/>
      <x:c r="K178" s="22"/>
      <x:c r="L178" s="26"/>
      <x:c r="M178" s="26"/>
      <x:c r="N178" s="28"/>
      <x:c r="O178" s="26"/>
      <x:c r="P178" s="26"/>
      <x:c r="Q178" s="22"/>
      <x:c r="R178" s="22"/>
      <x:c r="S178" s="22"/>
      <x:c r="T178" s="22"/>
      <x:c r="U178" s="22" t="str">
        <x:f>IF(OR(P178="",K178="Завершён",K178="Закрыт без продукта"),"",P178-TODAY())</x:f>
      </x:c>
    </x:row>
    <x:row r="179">
      <x:c r="A179" s="22" t="str">
        <x:f>IF(C179="","","RTE-"&amp;TEXT(ROW()-2,"0000"))</x:f>
      </x:c>
      <x:c r="B179" s="22"/>
      <x:c r="C179" s="22"/>
      <x:c r="D179" s="22"/>
      <x:c r="E179" s="22"/>
      <x:c r="F179" s="22"/>
      <x:c r="G179" s="22"/>
      <x:c r="H179" s="22"/>
      <x:c r="I179" s="22"/>
      <x:c r="J179" s="26"/>
      <x:c r="K179" s="22"/>
      <x:c r="L179" s="26"/>
      <x:c r="M179" s="26"/>
      <x:c r="N179" s="28"/>
      <x:c r="O179" s="26"/>
      <x:c r="P179" s="26"/>
      <x:c r="Q179" s="22"/>
      <x:c r="R179" s="22"/>
      <x:c r="S179" s="22"/>
      <x:c r="T179" s="22"/>
      <x:c r="U179" s="22" t="str">
        <x:f>IF(OR(P179="",K179="Завершён",K179="Закрыт без продукта"),"",P179-TODAY())</x:f>
      </x:c>
    </x:row>
    <x:row r="180">
      <x:c r="A180" s="22" t="str">
        <x:f>IF(C180="","","RTE-"&amp;TEXT(ROW()-2,"0000"))</x:f>
      </x:c>
      <x:c r="B180" s="22"/>
      <x:c r="C180" s="22"/>
      <x:c r="D180" s="22"/>
      <x:c r="E180" s="22"/>
      <x:c r="F180" s="22"/>
      <x:c r="G180" s="22"/>
      <x:c r="H180" s="22"/>
      <x:c r="I180" s="22"/>
      <x:c r="J180" s="26"/>
      <x:c r="K180" s="22"/>
      <x:c r="L180" s="26"/>
      <x:c r="M180" s="26"/>
      <x:c r="N180" s="28"/>
      <x:c r="O180" s="26"/>
      <x:c r="P180" s="26"/>
      <x:c r="Q180" s="22"/>
      <x:c r="R180" s="22"/>
      <x:c r="S180" s="22"/>
      <x:c r="T180" s="22"/>
      <x:c r="U180" s="22" t="str">
        <x:f>IF(OR(P180="",K180="Завершён",K180="Закрыт без продукта"),"",P180-TODAY())</x:f>
      </x:c>
    </x:row>
    <x:row r="181">
      <x:c r="A181" s="22" t="str">
        <x:f>IF(C181="","","RTE-"&amp;TEXT(ROW()-2,"0000"))</x:f>
      </x:c>
      <x:c r="B181" s="22"/>
      <x:c r="C181" s="22"/>
      <x:c r="D181" s="22"/>
      <x:c r="E181" s="22"/>
      <x:c r="F181" s="22"/>
      <x:c r="G181" s="22"/>
      <x:c r="H181" s="22"/>
      <x:c r="I181" s="22"/>
      <x:c r="J181" s="26"/>
      <x:c r="K181" s="22"/>
      <x:c r="L181" s="26"/>
      <x:c r="M181" s="26"/>
      <x:c r="N181" s="28"/>
      <x:c r="O181" s="26"/>
      <x:c r="P181" s="26"/>
      <x:c r="Q181" s="22"/>
      <x:c r="R181" s="22"/>
      <x:c r="S181" s="22"/>
      <x:c r="T181" s="22"/>
      <x:c r="U181" s="22" t="str">
        <x:f>IF(OR(P181="",K181="Завершён",K181="Закрыт без продукта"),"",P181-TODAY())</x:f>
      </x:c>
    </x:row>
    <x:row r="182">
      <x:c r="A182" s="22" t="str">
        <x:f>IF(C182="","","RTE-"&amp;TEXT(ROW()-2,"0000"))</x:f>
      </x:c>
      <x:c r="B182" s="22"/>
      <x:c r="C182" s="22"/>
      <x:c r="D182" s="22"/>
      <x:c r="E182" s="22"/>
      <x:c r="F182" s="22"/>
      <x:c r="G182" s="22"/>
      <x:c r="H182" s="22"/>
      <x:c r="I182" s="22"/>
      <x:c r="J182" s="26"/>
      <x:c r="K182" s="22"/>
      <x:c r="L182" s="26"/>
      <x:c r="M182" s="26"/>
      <x:c r="N182" s="28"/>
      <x:c r="O182" s="26"/>
      <x:c r="P182" s="26"/>
      <x:c r="Q182" s="22"/>
      <x:c r="R182" s="22"/>
      <x:c r="S182" s="22"/>
      <x:c r="T182" s="22"/>
      <x:c r="U182" s="22" t="str">
        <x:f>IF(OR(P182="",K182="Завершён",K182="Закрыт без продукта"),"",P182-TODAY())</x:f>
      </x:c>
    </x:row>
    <x:row r="183">
      <x:c r="A183" s="22" t="str">
        <x:f>IF(C183="","","RTE-"&amp;TEXT(ROW()-2,"0000"))</x:f>
      </x:c>
      <x:c r="B183" s="22"/>
      <x:c r="C183" s="22"/>
      <x:c r="D183" s="22"/>
      <x:c r="E183" s="22"/>
      <x:c r="F183" s="22"/>
      <x:c r="G183" s="22"/>
      <x:c r="H183" s="22"/>
      <x:c r="I183" s="22"/>
      <x:c r="J183" s="26"/>
      <x:c r="K183" s="22"/>
      <x:c r="L183" s="26"/>
      <x:c r="M183" s="26"/>
      <x:c r="N183" s="28"/>
      <x:c r="O183" s="26"/>
      <x:c r="P183" s="26"/>
      <x:c r="Q183" s="22"/>
      <x:c r="R183" s="22"/>
      <x:c r="S183" s="22"/>
      <x:c r="T183" s="22"/>
      <x:c r="U183" s="22" t="str">
        <x:f>IF(OR(P183="",K183="Завершён",K183="Закрыт без продукта"),"",P183-TODAY())</x:f>
      </x:c>
    </x:row>
    <x:row r="184">
      <x:c r="A184" s="22" t="str">
        <x:f>IF(C184="","","RTE-"&amp;TEXT(ROW()-2,"0000"))</x:f>
      </x:c>
      <x:c r="B184" s="22"/>
      <x:c r="C184" s="22"/>
      <x:c r="D184" s="22"/>
      <x:c r="E184" s="22"/>
      <x:c r="F184" s="22"/>
      <x:c r="G184" s="22"/>
      <x:c r="H184" s="22"/>
      <x:c r="I184" s="22"/>
      <x:c r="J184" s="26"/>
      <x:c r="K184" s="22"/>
      <x:c r="L184" s="26"/>
      <x:c r="M184" s="26"/>
      <x:c r="N184" s="28"/>
      <x:c r="O184" s="26"/>
      <x:c r="P184" s="26"/>
      <x:c r="Q184" s="22"/>
      <x:c r="R184" s="22"/>
      <x:c r="S184" s="22"/>
      <x:c r="T184" s="22"/>
      <x:c r="U184" s="22" t="str">
        <x:f>IF(OR(P184="",K184="Завершён",K184="Закрыт без продукта"),"",P184-TODAY())</x:f>
      </x:c>
    </x:row>
    <x:row r="185">
      <x:c r="A185" s="22" t="str">
        <x:f>IF(C185="","","RTE-"&amp;TEXT(ROW()-2,"0000"))</x:f>
      </x:c>
      <x:c r="B185" s="22"/>
      <x:c r="C185" s="22"/>
      <x:c r="D185" s="22"/>
      <x:c r="E185" s="22"/>
      <x:c r="F185" s="22"/>
      <x:c r="G185" s="22"/>
      <x:c r="H185" s="22"/>
      <x:c r="I185" s="22"/>
      <x:c r="J185" s="26"/>
      <x:c r="K185" s="22"/>
      <x:c r="L185" s="26"/>
      <x:c r="M185" s="26"/>
      <x:c r="N185" s="28"/>
      <x:c r="O185" s="26"/>
      <x:c r="P185" s="26"/>
      <x:c r="Q185" s="22"/>
      <x:c r="R185" s="22"/>
      <x:c r="S185" s="22"/>
      <x:c r="T185" s="22"/>
      <x:c r="U185" s="22" t="str">
        <x:f>IF(OR(P185="",K185="Завершён",K185="Закрыт без продукта"),"",P185-TODAY())</x:f>
      </x:c>
    </x:row>
    <x:row r="186">
      <x:c r="A186" s="22" t="str">
        <x:f>IF(C186="","","RTE-"&amp;TEXT(ROW()-2,"0000"))</x:f>
      </x:c>
      <x:c r="B186" s="22"/>
      <x:c r="C186" s="22"/>
      <x:c r="D186" s="22"/>
      <x:c r="E186" s="22"/>
      <x:c r="F186" s="22"/>
      <x:c r="G186" s="22"/>
      <x:c r="H186" s="22"/>
      <x:c r="I186" s="22"/>
      <x:c r="J186" s="26"/>
      <x:c r="K186" s="22"/>
      <x:c r="L186" s="26"/>
      <x:c r="M186" s="26"/>
      <x:c r="N186" s="28"/>
      <x:c r="O186" s="26"/>
      <x:c r="P186" s="26"/>
      <x:c r="Q186" s="22"/>
      <x:c r="R186" s="22"/>
      <x:c r="S186" s="22"/>
      <x:c r="T186" s="22"/>
      <x:c r="U186" s="22" t="str">
        <x:f>IF(OR(P186="",K186="Завершён",K186="Закрыт без продукта"),"",P186-TODAY())</x:f>
      </x:c>
    </x:row>
    <x:row r="187">
      <x:c r="A187" s="22" t="str">
        <x:f>IF(C187="","","RTE-"&amp;TEXT(ROW()-2,"0000"))</x:f>
      </x:c>
      <x:c r="B187" s="22"/>
      <x:c r="C187" s="22"/>
      <x:c r="D187" s="22"/>
      <x:c r="E187" s="22"/>
      <x:c r="F187" s="22"/>
      <x:c r="G187" s="22"/>
      <x:c r="H187" s="22"/>
      <x:c r="I187" s="22"/>
      <x:c r="J187" s="26"/>
      <x:c r="K187" s="22"/>
      <x:c r="L187" s="26"/>
      <x:c r="M187" s="26"/>
      <x:c r="N187" s="28"/>
      <x:c r="O187" s="26"/>
      <x:c r="P187" s="26"/>
      <x:c r="Q187" s="22"/>
      <x:c r="R187" s="22"/>
      <x:c r="S187" s="22"/>
      <x:c r="T187" s="22"/>
      <x:c r="U187" s="22" t="str">
        <x:f>IF(OR(P187="",K187="Завершён",K187="Закрыт без продукта"),"",P187-TODAY())</x:f>
      </x:c>
    </x:row>
    <x:row r="188">
      <x:c r="A188" s="22" t="str">
        <x:f>IF(C188="","","RTE-"&amp;TEXT(ROW()-2,"0000"))</x:f>
      </x:c>
      <x:c r="B188" s="22"/>
      <x:c r="C188" s="22"/>
      <x:c r="D188" s="22"/>
      <x:c r="E188" s="22"/>
      <x:c r="F188" s="22"/>
      <x:c r="G188" s="22"/>
      <x:c r="H188" s="22"/>
      <x:c r="I188" s="22"/>
      <x:c r="J188" s="26"/>
      <x:c r="K188" s="22"/>
      <x:c r="L188" s="26"/>
      <x:c r="M188" s="26"/>
      <x:c r="N188" s="28"/>
      <x:c r="O188" s="26"/>
      <x:c r="P188" s="26"/>
      <x:c r="Q188" s="22"/>
      <x:c r="R188" s="22"/>
      <x:c r="S188" s="22"/>
      <x:c r="T188" s="22"/>
      <x:c r="U188" s="22" t="str">
        <x:f>IF(OR(P188="",K188="Завершён",K188="Закрыт без продукта"),"",P188-TODAY())</x:f>
      </x:c>
    </x:row>
    <x:row r="189">
      <x:c r="A189" s="22" t="str">
        <x:f>IF(C189="","","RTE-"&amp;TEXT(ROW()-2,"0000"))</x:f>
      </x:c>
      <x:c r="B189" s="22"/>
      <x:c r="C189" s="22"/>
      <x:c r="D189" s="22"/>
      <x:c r="E189" s="22"/>
      <x:c r="F189" s="22"/>
      <x:c r="G189" s="22"/>
      <x:c r="H189" s="22"/>
      <x:c r="I189" s="22"/>
      <x:c r="J189" s="26"/>
      <x:c r="K189" s="22"/>
      <x:c r="L189" s="26"/>
      <x:c r="M189" s="26"/>
      <x:c r="N189" s="28"/>
      <x:c r="O189" s="26"/>
      <x:c r="P189" s="26"/>
      <x:c r="Q189" s="22"/>
      <x:c r="R189" s="22"/>
      <x:c r="S189" s="22"/>
      <x:c r="T189" s="22"/>
      <x:c r="U189" s="22" t="str">
        <x:f>IF(OR(P189="",K189="Завершён",K189="Закрыт без продукта"),"",P189-TODAY())</x:f>
      </x:c>
    </x:row>
    <x:row r="190">
      <x:c r="A190" s="22" t="str">
        <x:f>IF(C190="","","RTE-"&amp;TEXT(ROW()-2,"0000"))</x:f>
      </x:c>
      <x:c r="B190" s="22"/>
      <x:c r="C190" s="22"/>
      <x:c r="D190" s="22"/>
      <x:c r="E190" s="22"/>
      <x:c r="F190" s="22"/>
      <x:c r="G190" s="22"/>
      <x:c r="H190" s="22"/>
      <x:c r="I190" s="22"/>
      <x:c r="J190" s="26"/>
      <x:c r="K190" s="22"/>
      <x:c r="L190" s="26"/>
      <x:c r="M190" s="26"/>
      <x:c r="N190" s="28"/>
      <x:c r="O190" s="26"/>
      <x:c r="P190" s="26"/>
      <x:c r="Q190" s="22"/>
      <x:c r="R190" s="22"/>
      <x:c r="S190" s="22"/>
      <x:c r="T190" s="22"/>
      <x:c r="U190" s="22" t="str">
        <x:f>IF(OR(P190="",K190="Завершён",K190="Закрыт без продукта"),"",P190-TODAY())</x:f>
      </x:c>
    </x:row>
    <x:row r="191">
      <x:c r="A191" s="22" t="str">
        <x:f>IF(C191="","","RTE-"&amp;TEXT(ROW()-2,"0000"))</x:f>
      </x:c>
      <x:c r="B191" s="22"/>
      <x:c r="C191" s="22"/>
      <x:c r="D191" s="22"/>
      <x:c r="E191" s="22"/>
      <x:c r="F191" s="22"/>
      <x:c r="G191" s="22"/>
      <x:c r="H191" s="22"/>
      <x:c r="I191" s="22"/>
      <x:c r="J191" s="26"/>
      <x:c r="K191" s="22"/>
      <x:c r="L191" s="26"/>
      <x:c r="M191" s="26"/>
      <x:c r="N191" s="28"/>
      <x:c r="O191" s="26"/>
      <x:c r="P191" s="26"/>
      <x:c r="Q191" s="22"/>
      <x:c r="R191" s="22"/>
      <x:c r="S191" s="22"/>
      <x:c r="T191" s="22"/>
      <x:c r="U191" s="22" t="str">
        <x:f>IF(OR(P191="",K191="Завершён",K191="Закрыт без продукта"),"",P191-TODAY())</x:f>
      </x:c>
    </x:row>
    <x:row r="192">
      <x:c r="A192" s="22" t="str">
        <x:f>IF(C192="","","RTE-"&amp;TEXT(ROW()-2,"0000"))</x:f>
      </x:c>
      <x:c r="B192" s="22"/>
      <x:c r="C192" s="22"/>
      <x:c r="D192" s="22"/>
      <x:c r="E192" s="22"/>
      <x:c r="F192" s="22"/>
      <x:c r="G192" s="22"/>
      <x:c r="H192" s="22"/>
      <x:c r="I192" s="22"/>
      <x:c r="J192" s="26"/>
      <x:c r="K192" s="22"/>
      <x:c r="L192" s="26"/>
      <x:c r="M192" s="26"/>
      <x:c r="N192" s="28"/>
      <x:c r="O192" s="26"/>
      <x:c r="P192" s="26"/>
      <x:c r="Q192" s="22"/>
      <x:c r="R192" s="22"/>
      <x:c r="S192" s="22"/>
      <x:c r="T192" s="22"/>
      <x:c r="U192" s="22" t="str">
        <x:f>IF(OR(P192="",K192="Завершён",K192="Закрыт без продукта"),"",P192-TODAY())</x:f>
      </x:c>
    </x:row>
    <x:row r="193">
      <x:c r="A193" s="22" t="str">
        <x:f>IF(C193="","","RTE-"&amp;TEXT(ROW()-2,"0000"))</x:f>
      </x:c>
      <x:c r="B193" s="22"/>
      <x:c r="C193" s="22"/>
      <x:c r="D193" s="22"/>
      <x:c r="E193" s="22"/>
      <x:c r="F193" s="22"/>
      <x:c r="G193" s="22"/>
      <x:c r="H193" s="22"/>
      <x:c r="I193" s="22"/>
      <x:c r="J193" s="26"/>
      <x:c r="K193" s="22"/>
      <x:c r="L193" s="26"/>
      <x:c r="M193" s="26"/>
      <x:c r="N193" s="28"/>
      <x:c r="O193" s="26"/>
      <x:c r="P193" s="26"/>
      <x:c r="Q193" s="22"/>
      <x:c r="R193" s="22"/>
      <x:c r="S193" s="22"/>
      <x:c r="T193" s="22"/>
      <x:c r="U193" s="22" t="str">
        <x:f>IF(OR(P193="",K193="Завершён",K193="Закрыт без продукта"),"",P193-TODAY())</x:f>
      </x:c>
    </x:row>
    <x:row r="194">
      <x:c r="A194" s="22" t="str">
        <x:f>IF(C194="","","RTE-"&amp;TEXT(ROW()-2,"0000"))</x:f>
      </x:c>
      <x:c r="B194" s="22"/>
      <x:c r="C194" s="22"/>
      <x:c r="D194" s="22"/>
      <x:c r="E194" s="22"/>
      <x:c r="F194" s="22"/>
      <x:c r="G194" s="22"/>
      <x:c r="H194" s="22"/>
      <x:c r="I194" s="22"/>
      <x:c r="J194" s="26"/>
      <x:c r="K194" s="22"/>
      <x:c r="L194" s="26"/>
      <x:c r="M194" s="26"/>
      <x:c r="N194" s="28"/>
      <x:c r="O194" s="26"/>
      <x:c r="P194" s="26"/>
      <x:c r="Q194" s="22"/>
      <x:c r="R194" s="22"/>
      <x:c r="S194" s="22"/>
      <x:c r="T194" s="22"/>
      <x:c r="U194" s="22" t="str">
        <x:f>IF(OR(P194="",K194="Завершён",K194="Закрыт без продукта"),"",P194-TODAY())</x:f>
      </x:c>
    </x:row>
    <x:row r="195">
      <x:c r="A195" s="22" t="str">
        <x:f>IF(C195="","","RTE-"&amp;TEXT(ROW()-2,"0000"))</x:f>
      </x:c>
      <x:c r="B195" s="22"/>
      <x:c r="C195" s="22"/>
      <x:c r="D195" s="22"/>
      <x:c r="E195" s="22"/>
      <x:c r="F195" s="22"/>
      <x:c r="G195" s="22"/>
      <x:c r="H195" s="22"/>
      <x:c r="I195" s="22"/>
      <x:c r="J195" s="26"/>
      <x:c r="K195" s="22"/>
      <x:c r="L195" s="26"/>
      <x:c r="M195" s="26"/>
      <x:c r="N195" s="28"/>
      <x:c r="O195" s="26"/>
      <x:c r="P195" s="26"/>
      <x:c r="Q195" s="22"/>
      <x:c r="R195" s="22"/>
      <x:c r="S195" s="22"/>
      <x:c r="T195" s="22"/>
      <x:c r="U195" s="22" t="str">
        <x:f>IF(OR(P195="",K195="Завершён",K195="Закрыт без продукта"),"",P195-TODAY())</x:f>
      </x:c>
    </x:row>
    <x:row r="196">
      <x:c r="A196" s="22" t="str">
        <x:f>IF(C196="","","RTE-"&amp;TEXT(ROW()-2,"0000"))</x:f>
      </x:c>
      <x:c r="B196" s="22"/>
      <x:c r="C196" s="22"/>
      <x:c r="D196" s="22"/>
      <x:c r="E196" s="22"/>
      <x:c r="F196" s="22"/>
      <x:c r="G196" s="22"/>
      <x:c r="H196" s="22"/>
      <x:c r="I196" s="22"/>
      <x:c r="J196" s="26"/>
      <x:c r="K196" s="22"/>
      <x:c r="L196" s="26"/>
      <x:c r="M196" s="26"/>
      <x:c r="N196" s="28"/>
      <x:c r="O196" s="26"/>
      <x:c r="P196" s="26"/>
      <x:c r="Q196" s="22"/>
      <x:c r="R196" s="22"/>
      <x:c r="S196" s="22"/>
      <x:c r="T196" s="22"/>
      <x:c r="U196" s="22" t="str">
        <x:f>IF(OR(P196="",K196="Завершён",K196="Закрыт без продукта"),"",P196-TODAY())</x:f>
      </x:c>
    </x:row>
    <x:row r="197">
      <x:c r="A197" s="22" t="str">
        <x:f>IF(C197="","","RTE-"&amp;TEXT(ROW()-2,"0000"))</x:f>
      </x:c>
      <x:c r="B197" s="22"/>
      <x:c r="C197" s="22"/>
      <x:c r="D197" s="22"/>
      <x:c r="E197" s="22"/>
      <x:c r="F197" s="22"/>
      <x:c r="G197" s="22"/>
      <x:c r="H197" s="22"/>
      <x:c r="I197" s="22"/>
      <x:c r="J197" s="26"/>
      <x:c r="K197" s="22"/>
      <x:c r="L197" s="26"/>
      <x:c r="M197" s="26"/>
      <x:c r="N197" s="28"/>
      <x:c r="O197" s="26"/>
      <x:c r="P197" s="26"/>
      <x:c r="Q197" s="22"/>
      <x:c r="R197" s="22"/>
      <x:c r="S197" s="22"/>
      <x:c r="T197" s="22"/>
      <x:c r="U197" s="22" t="str">
        <x:f>IF(OR(P197="",K197="Завершён",K197="Закрыт без продукта"),"",P197-TODAY())</x:f>
      </x:c>
    </x:row>
    <x:row r="198">
      <x:c r="A198" s="22" t="str">
        <x:f>IF(C198="","","RTE-"&amp;TEXT(ROW()-2,"0000"))</x:f>
      </x:c>
      <x:c r="B198" s="22"/>
      <x:c r="C198" s="22"/>
      <x:c r="D198" s="22"/>
      <x:c r="E198" s="22"/>
      <x:c r="F198" s="22"/>
      <x:c r="G198" s="22"/>
      <x:c r="H198" s="22"/>
      <x:c r="I198" s="22"/>
      <x:c r="J198" s="26"/>
      <x:c r="K198" s="22"/>
      <x:c r="L198" s="26"/>
      <x:c r="M198" s="26"/>
      <x:c r="N198" s="28"/>
      <x:c r="O198" s="26"/>
      <x:c r="P198" s="26"/>
      <x:c r="Q198" s="22"/>
      <x:c r="R198" s="22"/>
      <x:c r="S198" s="22"/>
      <x:c r="T198" s="22"/>
      <x:c r="U198" s="22" t="str">
        <x:f>IF(OR(P198="",K198="Завершён",K198="Закрыт без продукта"),"",P198-TODAY())</x:f>
      </x:c>
    </x:row>
    <x:row r="199">
      <x:c r="A199" s="22" t="str">
        <x:f>IF(C199="","","RTE-"&amp;TEXT(ROW()-2,"0000"))</x:f>
      </x:c>
      <x:c r="B199" s="22"/>
      <x:c r="C199" s="22"/>
      <x:c r="D199" s="22"/>
      <x:c r="E199" s="22"/>
      <x:c r="F199" s="22"/>
      <x:c r="G199" s="22"/>
      <x:c r="H199" s="22"/>
      <x:c r="I199" s="22"/>
      <x:c r="J199" s="26"/>
      <x:c r="K199" s="22"/>
      <x:c r="L199" s="26"/>
      <x:c r="M199" s="26"/>
      <x:c r="N199" s="28"/>
      <x:c r="O199" s="26"/>
      <x:c r="P199" s="26"/>
      <x:c r="Q199" s="22"/>
      <x:c r="R199" s="22"/>
      <x:c r="S199" s="22"/>
      <x:c r="T199" s="22"/>
      <x:c r="U199" s="22" t="str">
        <x:f>IF(OR(P199="",K199="Завершён",K199="Закрыт без продукта"),"",P199-TODAY())</x:f>
      </x:c>
    </x:row>
    <x:row r="200">
      <x:c r="A200" s="22" t="str">
        <x:f>IF(C200="","","RTE-"&amp;TEXT(ROW()-2,"0000"))</x:f>
      </x:c>
      <x:c r="B200" s="22"/>
      <x:c r="C200" s="22"/>
      <x:c r="D200" s="22"/>
      <x:c r="E200" s="22"/>
      <x:c r="F200" s="22"/>
      <x:c r="G200" s="22"/>
      <x:c r="H200" s="22"/>
      <x:c r="I200" s="22"/>
      <x:c r="J200" s="26"/>
      <x:c r="K200" s="22"/>
      <x:c r="L200" s="26"/>
      <x:c r="M200" s="26"/>
      <x:c r="N200" s="28"/>
      <x:c r="O200" s="26"/>
      <x:c r="P200" s="26"/>
      <x:c r="Q200" s="22"/>
      <x:c r="R200" s="22"/>
      <x:c r="S200" s="22"/>
      <x:c r="T200" s="22"/>
      <x:c r="U200" s="22" t="str">
        <x:f>IF(OR(P200="",K200="Завершён",K200="Закрыт без продукта"),"",P200-TODAY())</x:f>
      </x:c>
    </x:row>
    <x:row r="201">
      <x:c r="A201" s="22" t="str">
        <x:f>IF(C201="","","RTE-"&amp;TEXT(ROW()-2,"0000"))</x:f>
      </x:c>
      <x:c r="B201" s="22"/>
      <x:c r="C201" s="22"/>
      <x:c r="D201" s="22"/>
      <x:c r="E201" s="22"/>
      <x:c r="F201" s="22"/>
      <x:c r="G201" s="22"/>
      <x:c r="H201" s="22"/>
      <x:c r="I201" s="22"/>
      <x:c r="J201" s="26"/>
      <x:c r="K201" s="22"/>
      <x:c r="L201" s="26"/>
      <x:c r="M201" s="26"/>
      <x:c r="N201" s="28"/>
      <x:c r="O201" s="26"/>
      <x:c r="P201" s="26"/>
      <x:c r="Q201" s="22"/>
      <x:c r="R201" s="22"/>
      <x:c r="S201" s="22"/>
      <x:c r="T201" s="22"/>
      <x:c r="U201" s="22" t="str">
        <x:f>IF(OR(P201="",K201="Завершён",K201="Закрыт без продукта"),"",P201-TODAY())</x:f>
      </x:c>
    </x:row>
    <x:row r="202">
      <x:c r="A202" s="22" t="str">
        <x:f>IF(C202="","","RTE-"&amp;TEXT(ROW()-2,"0000"))</x:f>
      </x:c>
      <x:c r="B202" s="22"/>
      <x:c r="C202" s="22"/>
      <x:c r="D202" s="22"/>
      <x:c r="E202" s="22"/>
      <x:c r="F202" s="22"/>
      <x:c r="G202" s="22"/>
      <x:c r="H202" s="22"/>
      <x:c r="I202" s="22"/>
      <x:c r="J202" s="26"/>
      <x:c r="K202" s="22"/>
      <x:c r="L202" s="26"/>
      <x:c r="M202" s="26"/>
      <x:c r="N202" s="28"/>
      <x:c r="O202" s="26"/>
      <x:c r="P202" s="26"/>
      <x:c r="Q202" s="22"/>
      <x:c r="R202" s="22"/>
      <x:c r="S202" s="22"/>
      <x:c r="T202" s="22"/>
      <x:c r="U202" s="22" t="str">
        <x:f>IF(OR(P202="",K202="Завершён",K202="Закрыт без продукта"),"",P202-TODAY())</x:f>
      </x:c>
    </x:row>
    <x:row r="203">
      <x:c r="A203" s="22" t="str">
        <x:f>IF(C203="","","RTE-"&amp;TEXT(ROW()-2,"0000"))</x:f>
      </x:c>
      <x:c r="B203" s="22"/>
      <x:c r="C203" s="22"/>
      <x:c r="D203" s="22"/>
      <x:c r="E203" s="22"/>
      <x:c r="F203" s="22"/>
      <x:c r="G203" s="22"/>
      <x:c r="H203" s="22"/>
      <x:c r="I203" s="22"/>
      <x:c r="J203" s="26"/>
      <x:c r="K203" s="22"/>
      <x:c r="L203" s="26"/>
      <x:c r="M203" s="26"/>
      <x:c r="N203" s="28"/>
      <x:c r="O203" s="26"/>
      <x:c r="P203" s="26"/>
      <x:c r="Q203" s="22"/>
      <x:c r="R203" s="22"/>
      <x:c r="S203" s="22"/>
      <x:c r="T203" s="22"/>
      <x:c r="U203" s="22" t="str">
        <x:f>IF(OR(P203="",K203="Завершён",K203="Закрыт без продукта"),"",P203-TODAY())</x:f>
      </x:c>
    </x:row>
    <x:row r="204">
      <x:c r="A204" s="22" t="str">
        <x:f>IF(C204="","","RTE-"&amp;TEXT(ROW()-2,"0000"))</x:f>
      </x:c>
      <x:c r="B204" s="22"/>
      <x:c r="C204" s="22"/>
      <x:c r="D204" s="22"/>
      <x:c r="E204" s="22"/>
      <x:c r="F204" s="22"/>
      <x:c r="G204" s="22"/>
      <x:c r="H204" s="22"/>
      <x:c r="I204" s="22"/>
      <x:c r="J204" s="26"/>
      <x:c r="K204" s="22"/>
      <x:c r="L204" s="26"/>
      <x:c r="M204" s="26"/>
      <x:c r="N204" s="28"/>
      <x:c r="O204" s="26"/>
      <x:c r="P204" s="26"/>
      <x:c r="Q204" s="22"/>
      <x:c r="R204" s="22"/>
      <x:c r="S204" s="22"/>
      <x:c r="T204" s="22"/>
      <x:c r="U204" s="22" t="str">
        <x:f>IF(OR(P204="",K204="Завершён",K204="Закрыт без продукта"),"",P204-TODAY())</x:f>
      </x:c>
    </x:row>
    <x:row r="205">
      <x:c r="A205" s="22" t="str">
        <x:f>IF(C205="","","RTE-"&amp;TEXT(ROW()-2,"0000"))</x:f>
      </x:c>
      <x:c r="B205" s="22"/>
      <x:c r="C205" s="22"/>
      <x:c r="D205" s="22"/>
      <x:c r="E205" s="22"/>
      <x:c r="F205" s="22"/>
      <x:c r="G205" s="22"/>
      <x:c r="H205" s="22"/>
      <x:c r="I205" s="22"/>
      <x:c r="J205" s="26"/>
      <x:c r="K205" s="22"/>
      <x:c r="L205" s="26"/>
      <x:c r="M205" s="26"/>
      <x:c r="N205" s="28"/>
      <x:c r="O205" s="26"/>
      <x:c r="P205" s="26"/>
      <x:c r="Q205" s="22"/>
      <x:c r="R205" s="22"/>
      <x:c r="S205" s="22"/>
      <x:c r="T205" s="22"/>
      <x:c r="U205" s="22" t="str">
        <x:f>IF(OR(P205="",K205="Завершён",K205="Закрыт без продукта"),"",P205-TODAY())</x:f>
      </x:c>
    </x:row>
    <x:row r="206">
      <x:c r="A206" s="22" t="str">
        <x:f>IF(C206="","","RTE-"&amp;TEXT(ROW()-2,"0000"))</x:f>
      </x:c>
      <x:c r="B206" s="22"/>
      <x:c r="C206" s="22"/>
      <x:c r="D206" s="22"/>
      <x:c r="E206" s="22"/>
      <x:c r="F206" s="22"/>
      <x:c r="G206" s="22"/>
      <x:c r="H206" s="22"/>
      <x:c r="I206" s="22"/>
      <x:c r="J206" s="26"/>
      <x:c r="K206" s="22"/>
      <x:c r="L206" s="26"/>
      <x:c r="M206" s="26"/>
      <x:c r="N206" s="28"/>
      <x:c r="O206" s="26"/>
      <x:c r="P206" s="26"/>
      <x:c r="Q206" s="22"/>
      <x:c r="R206" s="22"/>
      <x:c r="S206" s="22"/>
      <x:c r="T206" s="22"/>
      <x:c r="U206" s="22" t="str">
        <x:f>IF(OR(P206="",K206="Завершён",K206="Закрыт без продукта"),"",P206-TODAY())</x:f>
      </x:c>
    </x:row>
    <x:row r="207">
      <x:c r="A207" s="22" t="str">
        <x:f>IF(C207="","","RTE-"&amp;TEXT(ROW()-2,"0000"))</x:f>
      </x:c>
      <x:c r="B207" s="22"/>
      <x:c r="C207" s="22"/>
      <x:c r="D207" s="22"/>
      <x:c r="E207" s="22"/>
      <x:c r="F207" s="22"/>
      <x:c r="G207" s="22"/>
      <x:c r="H207" s="22"/>
      <x:c r="I207" s="22"/>
      <x:c r="J207" s="26"/>
      <x:c r="K207" s="22"/>
      <x:c r="L207" s="26"/>
      <x:c r="M207" s="26"/>
      <x:c r="N207" s="28"/>
      <x:c r="O207" s="26"/>
      <x:c r="P207" s="26"/>
      <x:c r="Q207" s="22"/>
      <x:c r="R207" s="22"/>
      <x:c r="S207" s="22"/>
      <x:c r="T207" s="22"/>
      <x:c r="U207" s="22" t="str">
        <x:f>IF(OR(P207="",K207="Завершён",K207="Закрыт без продукта"),"",P207-TODAY())</x:f>
      </x:c>
    </x:row>
    <x:row r="208">
      <x:c r="A208" s="22" t="str">
        <x:f>IF(C208="","","RTE-"&amp;TEXT(ROW()-2,"0000"))</x:f>
      </x:c>
      <x:c r="B208" s="22"/>
      <x:c r="C208" s="22"/>
      <x:c r="D208" s="22"/>
      <x:c r="E208" s="22"/>
      <x:c r="F208" s="22"/>
      <x:c r="G208" s="22"/>
      <x:c r="H208" s="22"/>
      <x:c r="I208" s="22"/>
      <x:c r="J208" s="26"/>
      <x:c r="K208" s="22"/>
      <x:c r="L208" s="26"/>
      <x:c r="M208" s="26"/>
      <x:c r="N208" s="28"/>
      <x:c r="O208" s="26"/>
      <x:c r="P208" s="26"/>
      <x:c r="Q208" s="22"/>
      <x:c r="R208" s="22"/>
      <x:c r="S208" s="22"/>
      <x:c r="T208" s="22"/>
      <x:c r="U208" s="22" t="str">
        <x:f>IF(OR(P208="",K208="Завершён",K208="Закрыт без продукта"),"",P208-TODAY())</x:f>
      </x:c>
    </x:row>
    <x:row r="209">
      <x:c r="A209" s="22" t="str">
        <x:f>IF(C209="","","RTE-"&amp;TEXT(ROW()-2,"0000"))</x:f>
      </x:c>
      <x:c r="B209" s="22"/>
      <x:c r="C209" s="22"/>
      <x:c r="D209" s="22"/>
      <x:c r="E209" s="22"/>
      <x:c r="F209" s="22"/>
      <x:c r="G209" s="22"/>
      <x:c r="H209" s="22"/>
      <x:c r="I209" s="22"/>
      <x:c r="J209" s="26"/>
      <x:c r="K209" s="22"/>
      <x:c r="L209" s="26"/>
      <x:c r="M209" s="26"/>
      <x:c r="N209" s="28"/>
      <x:c r="O209" s="26"/>
      <x:c r="P209" s="26"/>
      <x:c r="Q209" s="22"/>
      <x:c r="R209" s="22"/>
      <x:c r="S209" s="22"/>
      <x:c r="T209" s="22"/>
      <x:c r="U209" s="22" t="str">
        <x:f>IF(OR(P209="",K209="Завершён",K209="Закрыт без продукта"),"",P209-TODAY())</x:f>
      </x:c>
    </x:row>
    <x:row r="210">
      <x:c r="A210" s="22" t="str">
        <x:f>IF(C210="","","RTE-"&amp;TEXT(ROW()-2,"0000"))</x:f>
      </x:c>
      <x:c r="B210" s="22"/>
      <x:c r="C210" s="22"/>
      <x:c r="D210" s="22"/>
      <x:c r="E210" s="22"/>
      <x:c r="F210" s="22"/>
      <x:c r="G210" s="22"/>
      <x:c r="H210" s="22"/>
      <x:c r="I210" s="22"/>
      <x:c r="J210" s="26"/>
      <x:c r="K210" s="22"/>
      <x:c r="L210" s="26"/>
      <x:c r="M210" s="26"/>
      <x:c r="N210" s="28"/>
      <x:c r="O210" s="26"/>
      <x:c r="P210" s="26"/>
      <x:c r="Q210" s="22"/>
      <x:c r="R210" s="22"/>
      <x:c r="S210" s="22"/>
      <x:c r="T210" s="22"/>
      <x:c r="U210" s="22" t="str">
        <x:f>IF(OR(P210="",K210="Завершён",K210="Закрыт без продукта"),"",P210-TODAY())</x:f>
      </x:c>
    </x:row>
    <x:row r="211">
      <x:c r="A211" s="22" t="str">
        <x:f>IF(C211="","","RTE-"&amp;TEXT(ROW()-2,"0000"))</x:f>
      </x:c>
      <x:c r="B211" s="22"/>
      <x:c r="C211" s="22"/>
      <x:c r="D211" s="22"/>
      <x:c r="E211" s="22"/>
      <x:c r="F211" s="22"/>
      <x:c r="G211" s="22"/>
      <x:c r="H211" s="22"/>
      <x:c r="I211" s="22"/>
      <x:c r="J211" s="26"/>
      <x:c r="K211" s="22"/>
      <x:c r="L211" s="26"/>
      <x:c r="M211" s="26"/>
      <x:c r="N211" s="28"/>
      <x:c r="O211" s="26"/>
      <x:c r="P211" s="26"/>
      <x:c r="Q211" s="22"/>
      <x:c r="R211" s="22"/>
      <x:c r="S211" s="22"/>
      <x:c r="T211" s="22"/>
      <x:c r="U211" s="22" t="str">
        <x:f>IF(OR(P211="",K211="Завершён",K211="Закрыт без продукта"),"",P211-TODAY())</x:f>
      </x:c>
    </x:row>
    <x:row r="212">
      <x:c r="A212" s="22" t="str">
        <x:f>IF(C212="","","RTE-"&amp;TEXT(ROW()-2,"0000"))</x:f>
      </x:c>
      <x:c r="B212" s="22"/>
      <x:c r="C212" s="22"/>
      <x:c r="D212" s="22"/>
      <x:c r="E212" s="22"/>
      <x:c r="F212" s="22"/>
      <x:c r="G212" s="22"/>
      <x:c r="H212" s="22"/>
      <x:c r="I212" s="22"/>
      <x:c r="J212" s="26"/>
      <x:c r="K212" s="22"/>
      <x:c r="L212" s="26"/>
      <x:c r="M212" s="26"/>
      <x:c r="N212" s="28"/>
      <x:c r="O212" s="26"/>
      <x:c r="P212" s="26"/>
      <x:c r="Q212" s="22"/>
      <x:c r="R212" s="22"/>
      <x:c r="S212" s="22"/>
      <x:c r="T212" s="22"/>
      <x:c r="U212" s="22" t="str">
        <x:f>IF(OR(P212="",K212="Завершён",K212="Закрыт без продукта"),"",P212-TODAY())</x:f>
      </x:c>
    </x:row>
    <x:row r="213">
      <x:c r="A213" s="22" t="str">
        <x:f>IF(C213="","","RTE-"&amp;TEXT(ROW()-2,"0000"))</x:f>
      </x:c>
      <x:c r="B213" s="22"/>
      <x:c r="C213" s="22"/>
      <x:c r="D213" s="22"/>
      <x:c r="E213" s="22"/>
      <x:c r="F213" s="22"/>
      <x:c r="G213" s="22"/>
      <x:c r="H213" s="22"/>
      <x:c r="I213" s="22"/>
      <x:c r="J213" s="26"/>
      <x:c r="K213" s="22"/>
      <x:c r="L213" s="26"/>
      <x:c r="M213" s="26"/>
      <x:c r="N213" s="28"/>
      <x:c r="O213" s="26"/>
      <x:c r="P213" s="26"/>
      <x:c r="Q213" s="22"/>
      <x:c r="R213" s="22"/>
      <x:c r="S213" s="22"/>
      <x:c r="T213" s="22"/>
      <x:c r="U213" s="22" t="str">
        <x:f>IF(OR(P213="",K213="Завершён",K213="Закрыт без продукта"),"",P213-TODAY())</x:f>
      </x:c>
    </x:row>
    <x:row r="214">
      <x:c r="A214" s="22" t="str">
        <x:f>IF(C214="","","RTE-"&amp;TEXT(ROW()-2,"0000"))</x:f>
      </x:c>
      <x:c r="B214" s="22"/>
      <x:c r="C214" s="22"/>
      <x:c r="D214" s="22"/>
      <x:c r="E214" s="22"/>
      <x:c r="F214" s="22"/>
      <x:c r="G214" s="22"/>
      <x:c r="H214" s="22"/>
      <x:c r="I214" s="22"/>
      <x:c r="J214" s="26"/>
      <x:c r="K214" s="22"/>
      <x:c r="L214" s="26"/>
      <x:c r="M214" s="26"/>
      <x:c r="N214" s="28"/>
      <x:c r="O214" s="26"/>
      <x:c r="P214" s="26"/>
      <x:c r="Q214" s="22"/>
      <x:c r="R214" s="22"/>
      <x:c r="S214" s="22"/>
      <x:c r="T214" s="22"/>
      <x:c r="U214" s="22" t="str">
        <x:f>IF(OR(P214="",K214="Завершён",K214="Закрыт без продукта"),"",P214-TODAY())</x:f>
      </x:c>
    </x:row>
    <x:row r="215">
      <x:c r="A215" s="22" t="str">
        <x:f>IF(C215="","","RTE-"&amp;TEXT(ROW()-2,"0000"))</x:f>
      </x:c>
      <x:c r="B215" s="22"/>
      <x:c r="C215" s="22"/>
      <x:c r="D215" s="22"/>
      <x:c r="E215" s="22"/>
      <x:c r="F215" s="22"/>
      <x:c r="G215" s="22"/>
      <x:c r="H215" s="22"/>
      <x:c r="I215" s="22"/>
      <x:c r="J215" s="26"/>
      <x:c r="K215" s="22"/>
      <x:c r="L215" s="26"/>
      <x:c r="M215" s="26"/>
      <x:c r="N215" s="28"/>
      <x:c r="O215" s="26"/>
      <x:c r="P215" s="26"/>
      <x:c r="Q215" s="22"/>
      <x:c r="R215" s="22"/>
      <x:c r="S215" s="22"/>
      <x:c r="T215" s="22"/>
      <x:c r="U215" s="22" t="str">
        <x:f>IF(OR(P215="",K215="Завершён",K215="Закрыт без продукта"),"",P215-TODAY())</x:f>
      </x:c>
    </x:row>
    <x:row r="216">
      <x:c r="A216" s="22" t="str">
        <x:f>IF(C216="","","RTE-"&amp;TEXT(ROW()-2,"0000"))</x:f>
      </x:c>
      <x:c r="B216" s="22"/>
      <x:c r="C216" s="22"/>
      <x:c r="D216" s="22"/>
      <x:c r="E216" s="22"/>
      <x:c r="F216" s="22"/>
      <x:c r="G216" s="22"/>
      <x:c r="H216" s="22"/>
      <x:c r="I216" s="22"/>
      <x:c r="J216" s="26"/>
      <x:c r="K216" s="22"/>
      <x:c r="L216" s="26"/>
      <x:c r="M216" s="26"/>
      <x:c r="N216" s="28"/>
      <x:c r="O216" s="26"/>
      <x:c r="P216" s="26"/>
      <x:c r="Q216" s="22"/>
      <x:c r="R216" s="22"/>
      <x:c r="S216" s="22"/>
      <x:c r="T216" s="22"/>
      <x:c r="U216" s="22" t="str">
        <x:f>IF(OR(P216="",K216="Завершён",K216="Закрыт без продукта"),"",P216-TODAY())</x:f>
      </x:c>
    </x:row>
    <x:row r="217">
      <x:c r="A217" s="22" t="str">
        <x:f>IF(C217="","","RTE-"&amp;TEXT(ROW()-2,"0000"))</x:f>
      </x:c>
      <x:c r="B217" s="22"/>
      <x:c r="C217" s="22"/>
      <x:c r="D217" s="22"/>
      <x:c r="E217" s="22"/>
      <x:c r="F217" s="22"/>
      <x:c r="G217" s="22"/>
      <x:c r="H217" s="22"/>
      <x:c r="I217" s="22"/>
      <x:c r="J217" s="26"/>
      <x:c r="K217" s="22"/>
      <x:c r="L217" s="26"/>
      <x:c r="M217" s="26"/>
      <x:c r="N217" s="28"/>
      <x:c r="O217" s="26"/>
      <x:c r="P217" s="26"/>
      <x:c r="Q217" s="22"/>
      <x:c r="R217" s="22"/>
      <x:c r="S217" s="22"/>
      <x:c r="T217" s="22"/>
      <x:c r="U217" s="22" t="str">
        <x:f>IF(OR(P217="",K217="Завершён",K217="Закрыт без продукта"),"",P217-TODAY())</x:f>
      </x:c>
    </x:row>
    <x:row r="218">
      <x:c r="A218" s="22" t="str">
        <x:f>IF(C218="","","RTE-"&amp;TEXT(ROW()-2,"0000"))</x:f>
      </x:c>
      <x:c r="B218" s="22"/>
      <x:c r="C218" s="22"/>
      <x:c r="D218" s="22"/>
      <x:c r="E218" s="22"/>
      <x:c r="F218" s="22"/>
      <x:c r="G218" s="22"/>
      <x:c r="H218" s="22"/>
      <x:c r="I218" s="22"/>
      <x:c r="J218" s="26"/>
      <x:c r="K218" s="22"/>
      <x:c r="L218" s="26"/>
      <x:c r="M218" s="26"/>
      <x:c r="N218" s="28"/>
      <x:c r="O218" s="26"/>
      <x:c r="P218" s="26"/>
      <x:c r="Q218" s="22"/>
      <x:c r="R218" s="22"/>
      <x:c r="S218" s="22"/>
      <x:c r="T218" s="22"/>
      <x:c r="U218" s="22" t="str">
        <x:f>IF(OR(P218="",K218="Завершён",K218="Закрыт без продукта"),"",P218-TODAY())</x:f>
      </x:c>
    </x:row>
    <x:row r="219">
      <x:c r="A219" s="22" t="str">
        <x:f>IF(C219="","","RTE-"&amp;TEXT(ROW()-2,"0000"))</x:f>
      </x:c>
      <x:c r="B219" s="22"/>
      <x:c r="C219" s="22"/>
      <x:c r="D219" s="22"/>
      <x:c r="E219" s="22"/>
      <x:c r="F219" s="22"/>
      <x:c r="G219" s="22"/>
      <x:c r="H219" s="22"/>
      <x:c r="I219" s="22"/>
      <x:c r="J219" s="26"/>
      <x:c r="K219" s="22"/>
      <x:c r="L219" s="26"/>
      <x:c r="M219" s="26"/>
      <x:c r="N219" s="28"/>
      <x:c r="O219" s="26"/>
      <x:c r="P219" s="26"/>
      <x:c r="Q219" s="22"/>
      <x:c r="R219" s="22"/>
      <x:c r="S219" s="22"/>
      <x:c r="T219" s="22"/>
      <x:c r="U219" s="22" t="str">
        <x:f>IF(OR(P219="",K219="Завершён",K219="Закрыт без продукта"),"",P219-TODAY())</x:f>
      </x:c>
    </x:row>
    <x:row r="220">
      <x:c r="A220" s="22" t="str">
        <x:f>IF(C220="","","RTE-"&amp;TEXT(ROW()-2,"0000"))</x:f>
      </x:c>
      <x:c r="B220" s="22"/>
      <x:c r="C220" s="22"/>
      <x:c r="D220" s="22"/>
      <x:c r="E220" s="22"/>
      <x:c r="F220" s="22"/>
      <x:c r="G220" s="22"/>
      <x:c r="H220" s="22"/>
      <x:c r="I220" s="22"/>
      <x:c r="J220" s="26"/>
      <x:c r="K220" s="22"/>
      <x:c r="L220" s="26"/>
      <x:c r="M220" s="26"/>
      <x:c r="N220" s="28"/>
      <x:c r="O220" s="26"/>
      <x:c r="P220" s="26"/>
      <x:c r="Q220" s="22"/>
      <x:c r="R220" s="22"/>
      <x:c r="S220" s="22"/>
      <x:c r="T220" s="22"/>
      <x:c r="U220" s="22" t="str">
        <x:f>IF(OR(P220="",K220="Завершён",K220="Закрыт без продукта"),"",P220-TODAY())</x:f>
      </x:c>
    </x:row>
    <x:row r="221">
      <x:c r="A221" s="22" t="str">
        <x:f>IF(C221="","","RTE-"&amp;TEXT(ROW()-2,"0000"))</x:f>
      </x:c>
      <x:c r="B221" s="22"/>
      <x:c r="C221" s="22"/>
      <x:c r="D221" s="22"/>
      <x:c r="E221" s="22"/>
      <x:c r="F221" s="22"/>
      <x:c r="G221" s="22"/>
      <x:c r="H221" s="22"/>
      <x:c r="I221" s="22"/>
      <x:c r="J221" s="26"/>
      <x:c r="K221" s="22"/>
      <x:c r="L221" s="26"/>
      <x:c r="M221" s="26"/>
      <x:c r="N221" s="28"/>
      <x:c r="O221" s="26"/>
      <x:c r="P221" s="26"/>
      <x:c r="Q221" s="22"/>
      <x:c r="R221" s="22"/>
      <x:c r="S221" s="22"/>
      <x:c r="T221" s="22"/>
      <x:c r="U221" s="22" t="str">
        <x:f>IF(OR(P221="",K221="Завершён",K221="Закрыт без продукта"),"",P221-TODAY())</x:f>
      </x:c>
    </x:row>
    <x:row r="222">
      <x:c r="A222" s="22" t="str">
        <x:f>IF(C222="","","RTE-"&amp;TEXT(ROW()-2,"0000"))</x:f>
      </x:c>
      <x:c r="B222" s="22"/>
      <x:c r="C222" s="22"/>
      <x:c r="D222" s="22"/>
      <x:c r="E222" s="22"/>
      <x:c r="F222" s="22"/>
      <x:c r="G222" s="22"/>
      <x:c r="H222" s="22"/>
      <x:c r="I222" s="22"/>
      <x:c r="J222" s="26"/>
      <x:c r="K222" s="22"/>
      <x:c r="L222" s="26"/>
      <x:c r="M222" s="26"/>
      <x:c r="N222" s="28"/>
      <x:c r="O222" s="26"/>
      <x:c r="P222" s="26"/>
      <x:c r="Q222" s="22"/>
      <x:c r="R222" s="22"/>
      <x:c r="S222" s="22"/>
      <x:c r="T222" s="22"/>
      <x:c r="U222" s="22" t="str">
        <x:f>IF(OR(P222="",K222="Завершён",K222="Закрыт без продукта"),"",P222-TODAY())</x:f>
      </x:c>
    </x:row>
    <x:row r="223">
      <x:c r="A223" s="22" t="str">
        <x:f>IF(C223="","","RTE-"&amp;TEXT(ROW()-2,"0000"))</x:f>
      </x:c>
      <x:c r="B223" s="22"/>
      <x:c r="C223" s="22"/>
      <x:c r="D223" s="22"/>
      <x:c r="E223" s="22"/>
      <x:c r="F223" s="22"/>
      <x:c r="G223" s="22"/>
      <x:c r="H223" s="22"/>
      <x:c r="I223" s="22"/>
      <x:c r="J223" s="26"/>
      <x:c r="K223" s="22"/>
      <x:c r="L223" s="26"/>
      <x:c r="M223" s="26"/>
      <x:c r="N223" s="28"/>
      <x:c r="O223" s="26"/>
      <x:c r="P223" s="26"/>
      <x:c r="Q223" s="22"/>
      <x:c r="R223" s="22"/>
      <x:c r="S223" s="22"/>
      <x:c r="T223" s="22"/>
      <x:c r="U223" s="22" t="str">
        <x:f>IF(OR(P223="",K223="Завершён",K223="Закрыт без продукта"),"",P223-TODAY())</x:f>
      </x:c>
    </x:row>
    <x:row r="224">
      <x:c r="A224" s="22" t="str">
        <x:f>IF(C224="","","RTE-"&amp;TEXT(ROW()-2,"0000"))</x:f>
      </x:c>
      <x:c r="B224" s="22"/>
      <x:c r="C224" s="22"/>
      <x:c r="D224" s="22"/>
      <x:c r="E224" s="22"/>
      <x:c r="F224" s="22"/>
      <x:c r="G224" s="22"/>
      <x:c r="H224" s="22"/>
      <x:c r="I224" s="22"/>
      <x:c r="J224" s="26"/>
      <x:c r="K224" s="22"/>
      <x:c r="L224" s="26"/>
      <x:c r="M224" s="26"/>
      <x:c r="N224" s="28"/>
      <x:c r="O224" s="26"/>
      <x:c r="P224" s="26"/>
      <x:c r="Q224" s="22"/>
      <x:c r="R224" s="22"/>
      <x:c r="S224" s="22"/>
      <x:c r="T224" s="22"/>
      <x:c r="U224" s="22" t="str">
        <x:f>IF(OR(P224="",K224="Завершён",K224="Закрыт без продукта"),"",P224-TODAY())</x:f>
      </x:c>
    </x:row>
    <x:row r="225">
      <x:c r="A225" s="22" t="str">
        <x:f>IF(C225="","","RTE-"&amp;TEXT(ROW()-2,"0000"))</x:f>
      </x:c>
      <x:c r="B225" s="22"/>
      <x:c r="C225" s="22"/>
      <x:c r="D225" s="22"/>
      <x:c r="E225" s="22"/>
      <x:c r="F225" s="22"/>
      <x:c r="G225" s="22"/>
      <x:c r="H225" s="22"/>
      <x:c r="I225" s="22"/>
      <x:c r="J225" s="26"/>
      <x:c r="K225" s="22"/>
      <x:c r="L225" s="26"/>
      <x:c r="M225" s="26"/>
      <x:c r="N225" s="28"/>
      <x:c r="O225" s="26"/>
      <x:c r="P225" s="26"/>
      <x:c r="Q225" s="22"/>
      <x:c r="R225" s="22"/>
      <x:c r="S225" s="22"/>
      <x:c r="T225" s="22"/>
      <x:c r="U225" s="22" t="str">
        <x:f>IF(OR(P225="",K225="Завершён",K225="Закрыт без продукта"),"",P225-TODAY())</x:f>
      </x:c>
    </x:row>
    <x:row r="226">
      <x:c r="A226" s="22" t="str">
        <x:f>IF(C226="","","RTE-"&amp;TEXT(ROW()-2,"0000"))</x:f>
      </x:c>
      <x:c r="B226" s="22"/>
      <x:c r="C226" s="22"/>
      <x:c r="D226" s="22"/>
      <x:c r="E226" s="22"/>
      <x:c r="F226" s="22"/>
      <x:c r="G226" s="22"/>
      <x:c r="H226" s="22"/>
      <x:c r="I226" s="22"/>
      <x:c r="J226" s="26"/>
      <x:c r="K226" s="22"/>
      <x:c r="L226" s="26"/>
      <x:c r="M226" s="26"/>
      <x:c r="N226" s="28"/>
      <x:c r="O226" s="26"/>
      <x:c r="P226" s="26"/>
      <x:c r="Q226" s="22"/>
      <x:c r="R226" s="22"/>
      <x:c r="S226" s="22"/>
      <x:c r="T226" s="22"/>
      <x:c r="U226" s="22" t="str">
        <x:f>IF(OR(P226="",K226="Завершён",K226="Закрыт без продукта"),"",P226-TODAY())</x:f>
      </x:c>
    </x:row>
    <x:row r="227">
      <x:c r="A227" s="22" t="str">
        <x:f>IF(C227="","","RTE-"&amp;TEXT(ROW()-2,"0000"))</x:f>
      </x:c>
      <x:c r="B227" s="22"/>
      <x:c r="C227" s="22"/>
      <x:c r="D227" s="22"/>
      <x:c r="E227" s="22"/>
      <x:c r="F227" s="22"/>
      <x:c r="G227" s="22"/>
      <x:c r="H227" s="22"/>
      <x:c r="I227" s="22"/>
      <x:c r="J227" s="26"/>
      <x:c r="K227" s="22"/>
      <x:c r="L227" s="26"/>
      <x:c r="M227" s="26"/>
      <x:c r="N227" s="28"/>
      <x:c r="O227" s="26"/>
      <x:c r="P227" s="26"/>
      <x:c r="Q227" s="22"/>
      <x:c r="R227" s="22"/>
      <x:c r="S227" s="22"/>
      <x:c r="T227" s="22"/>
      <x:c r="U227" s="22" t="str">
        <x:f>IF(OR(P227="",K227="Завершён",K227="Закрыт без продукта"),"",P227-TODAY())</x:f>
      </x:c>
    </x:row>
    <x:row r="228">
      <x:c r="A228" s="22" t="str">
        <x:f>IF(C228="","","RTE-"&amp;TEXT(ROW()-2,"0000"))</x:f>
      </x:c>
      <x:c r="B228" s="22"/>
      <x:c r="C228" s="22"/>
      <x:c r="D228" s="22"/>
      <x:c r="E228" s="22"/>
      <x:c r="F228" s="22"/>
      <x:c r="G228" s="22"/>
      <x:c r="H228" s="22"/>
      <x:c r="I228" s="22"/>
      <x:c r="J228" s="26"/>
      <x:c r="K228" s="22"/>
      <x:c r="L228" s="26"/>
      <x:c r="M228" s="26"/>
      <x:c r="N228" s="28"/>
      <x:c r="O228" s="26"/>
      <x:c r="P228" s="26"/>
      <x:c r="Q228" s="22"/>
      <x:c r="R228" s="22"/>
      <x:c r="S228" s="22"/>
      <x:c r="T228" s="22"/>
      <x:c r="U228" s="22" t="str">
        <x:f>IF(OR(P228="",K228="Завершён",K228="Закрыт без продукта"),"",P228-TODAY())</x:f>
      </x:c>
    </x:row>
    <x:row r="229">
      <x:c r="A229" s="22" t="str">
        <x:f>IF(C229="","","RTE-"&amp;TEXT(ROW()-2,"0000"))</x:f>
      </x:c>
      <x:c r="B229" s="22"/>
      <x:c r="C229" s="22"/>
      <x:c r="D229" s="22"/>
      <x:c r="E229" s="22"/>
      <x:c r="F229" s="22"/>
      <x:c r="G229" s="22"/>
      <x:c r="H229" s="22"/>
      <x:c r="I229" s="22"/>
      <x:c r="J229" s="26"/>
      <x:c r="K229" s="22"/>
      <x:c r="L229" s="26"/>
      <x:c r="M229" s="26"/>
      <x:c r="N229" s="28"/>
      <x:c r="O229" s="26"/>
      <x:c r="P229" s="26"/>
      <x:c r="Q229" s="22"/>
      <x:c r="R229" s="22"/>
      <x:c r="S229" s="22"/>
      <x:c r="T229" s="22"/>
      <x:c r="U229" s="22" t="str">
        <x:f>IF(OR(P229="",K229="Завершён",K229="Закрыт без продукта"),"",P229-TODAY())</x:f>
      </x:c>
    </x:row>
    <x:row r="230">
      <x:c r="A230" s="22" t="str">
        <x:f>IF(C230="","","RTE-"&amp;TEXT(ROW()-2,"0000"))</x:f>
      </x:c>
      <x:c r="B230" s="22"/>
      <x:c r="C230" s="22"/>
      <x:c r="D230" s="22"/>
      <x:c r="E230" s="22"/>
      <x:c r="F230" s="22"/>
      <x:c r="G230" s="22"/>
      <x:c r="H230" s="22"/>
      <x:c r="I230" s="22"/>
      <x:c r="J230" s="26"/>
      <x:c r="K230" s="22"/>
      <x:c r="L230" s="26"/>
      <x:c r="M230" s="26"/>
      <x:c r="N230" s="28"/>
      <x:c r="O230" s="26"/>
      <x:c r="P230" s="26"/>
      <x:c r="Q230" s="22"/>
      <x:c r="R230" s="22"/>
      <x:c r="S230" s="22"/>
      <x:c r="T230" s="22"/>
      <x:c r="U230" s="22" t="str">
        <x:f>IF(OR(P230="",K230="Завершён",K230="Закрыт без продукта"),"",P230-TODAY())</x:f>
      </x:c>
    </x:row>
    <x:row r="231">
      <x:c r="A231" s="22" t="str">
        <x:f>IF(C231="","","RTE-"&amp;TEXT(ROW()-2,"0000"))</x:f>
      </x:c>
      <x:c r="B231" s="22"/>
      <x:c r="C231" s="22"/>
      <x:c r="D231" s="22"/>
      <x:c r="E231" s="22"/>
      <x:c r="F231" s="22"/>
      <x:c r="G231" s="22"/>
      <x:c r="H231" s="22"/>
      <x:c r="I231" s="22"/>
      <x:c r="J231" s="26"/>
      <x:c r="K231" s="22"/>
      <x:c r="L231" s="26"/>
      <x:c r="M231" s="26"/>
      <x:c r="N231" s="28"/>
      <x:c r="O231" s="26"/>
      <x:c r="P231" s="26"/>
      <x:c r="Q231" s="22"/>
      <x:c r="R231" s="22"/>
      <x:c r="S231" s="22"/>
      <x:c r="T231" s="22"/>
      <x:c r="U231" s="22" t="str">
        <x:f>IF(OR(P231="",K231="Завершён",K231="Закрыт без продукта"),"",P231-TODAY())</x:f>
      </x:c>
    </x:row>
    <x:row r="232">
      <x:c r="A232" s="22" t="str">
        <x:f>IF(C232="","","RTE-"&amp;TEXT(ROW()-2,"0000"))</x:f>
      </x:c>
      <x:c r="B232" s="22"/>
      <x:c r="C232" s="22"/>
      <x:c r="D232" s="22"/>
      <x:c r="E232" s="22"/>
      <x:c r="F232" s="22"/>
      <x:c r="G232" s="22"/>
      <x:c r="H232" s="22"/>
      <x:c r="I232" s="22"/>
      <x:c r="J232" s="26"/>
      <x:c r="K232" s="22"/>
      <x:c r="L232" s="26"/>
      <x:c r="M232" s="26"/>
      <x:c r="N232" s="28"/>
      <x:c r="O232" s="26"/>
      <x:c r="P232" s="26"/>
      <x:c r="Q232" s="22"/>
      <x:c r="R232" s="22"/>
      <x:c r="S232" s="22"/>
      <x:c r="T232" s="22"/>
      <x:c r="U232" s="22" t="str">
        <x:f>IF(OR(P232="",K232="Завершён",K232="Закрыт без продукта"),"",P232-TODAY())</x:f>
      </x:c>
    </x:row>
    <x:row r="233">
      <x:c r="A233" s="22" t="str">
        <x:f>IF(C233="","","RTE-"&amp;TEXT(ROW()-2,"0000"))</x:f>
      </x:c>
      <x:c r="B233" s="22"/>
      <x:c r="C233" s="22"/>
      <x:c r="D233" s="22"/>
      <x:c r="E233" s="22"/>
      <x:c r="F233" s="22"/>
      <x:c r="G233" s="22"/>
      <x:c r="H233" s="22"/>
      <x:c r="I233" s="22"/>
      <x:c r="J233" s="26"/>
      <x:c r="K233" s="22"/>
      <x:c r="L233" s="26"/>
      <x:c r="M233" s="26"/>
      <x:c r="N233" s="28"/>
      <x:c r="O233" s="26"/>
      <x:c r="P233" s="26"/>
      <x:c r="Q233" s="22"/>
      <x:c r="R233" s="22"/>
      <x:c r="S233" s="22"/>
      <x:c r="T233" s="22"/>
      <x:c r="U233" s="22" t="str">
        <x:f>IF(OR(P233="",K233="Завершён",K233="Закрыт без продукта"),"",P233-TODAY())</x:f>
      </x:c>
    </x:row>
    <x:row r="234">
      <x:c r="A234" s="22" t="str">
        <x:f>IF(C234="","","RTE-"&amp;TEXT(ROW()-2,"0000"))</x:f>
      </x:c>
      <x:c r="B234" s="22"/>
      <x:c r="C234" s="22"/>
      <x:c r="D234" s="22"/>
      <x:c r="E234" s="22"/>
      <x:c r="F234" s="22"/>
      <x:c r="G234" s="22"/>
      <x:c r="H234" s="22"/>
      <x:c r="I234" s="22"/>
      <x:c r="J234" s="26"/>
      <x:c r="K234" s="22"/>
      <x:c r="L234" s="26"/>
      <x:c r="M234" s="26"/>
      <x:c r="N234" s="28"/>
      <x:c r="O234" s="26"/>
      <x:c r="P234" s="26"/>
      <x:c r="Q234" s="22"/>
      <x:c r="R234" s="22"/>
      <x:c r="S234" s="22"/>
      <x:c r="T234" s="22"/>
      <x:c r="U234" s="22" t="str">
        <x:f>IF(OR(P234="",K234="Завершён",K234="Закрыт без продукта"),"",P234-TODAY())</x:f>
      </x:c>
    </x:row>
    <x:row r="235">
      <x:c r="A235" s="22" t="str">
        <x:f>IF(C235="","","RTE-"&amp;TEXT(ROW()-2,"0000"))</x:f>
      </x:c>
      <x:c r="B235" s="22"/>
      <x:c r="C235" s="22"/>
      <x:c r="D235" s="22"/>
      <x:c r="E235" s="22"/>
      <x:c r="F235" s="22"/>
      <x:c r="G235" s="22"/>
      <x:c r="H235" s="22"/>
      <x:c r="I235" s="22"/>
      <x:c r="J235" s="26"/>
      <x:c r="K235" s="22"/>
      <x:c r="L235" s="26"/>
      <x:c r="M235" s="26"/>
      <x:c r="N235" s="28"/>
      <x:c r="O235" s="26"/>
      <x:c r="P235" s="26"/>
      <x:c r="Q235" s="22"/>
      <x:c r="R235" s="22"/>
      <x:c r="S235" s="22"/>
      <x:c r="T235" s="22"/>
      <x:c r="U235" s="22" t="str">
        <x:f>IF(OR(P235="",K235="Завершён",K235="Закрыт без продукта"),"",P235-TODAY())</x:f>
      </x:c>
    </x:row>
    <x:row r="236">
      <x:c r="A236" s="22" t="str">
        <x:f>IF(C236="","","RTE-"&amp;TEXT(ROW()-2,"0000"))</x:f>
      </x:c>
      <x:c r="B236" s="22"/>
      <x:c r="C236" s="22"/>
      <x:c r="D236" s="22"/>
      <x:c r="E236" s="22"/>
      <x:c r="F236" s="22"/>
      <x:c r="G236" s="22"/>
      <x:c r="H236" s="22"/>
      <x:c r="I236" s="22"/>
      <x:c r="J236" s="26"/>
      <x:c r="K236" s="22"/>
      <x:c r="L236" s="26"/>
      <x:c r="M236" s="26"/>
      <x:c r="N236" s="28"/>
      <x:c r="O236" s="26"/>
      <x:c r="P236" s="26"/>
      <x:c r="Q236" s="22"/>
      <x:c r="R236" s="22"/>
      <x:c r="S236" s="22"/>
      <x:c r="T236" s="22"/>
      <x:c r="U236" s="22" t="str">
        <x:f>IF(OR(P236="",K236="Завершён",K236="Закрыт без продукта"),"",P236-TODAY())</x:f>
      </x:c>
    </x:row>
    <x:row r="237">
      <x:c r="A237" s="22" t="str">
        <x:f>IF(C237="","","RTE-"&amp;TEXT(ROW()-2,"0000"))</x:f>
      </x:c>
      <x:c r="B237" s="22"/>
      <x:c r="C237" s="22"/>
      <x:c r="D237" s="22"/>
      <x:c r="E237" s="22"/>
      <x:c r="F237" s="22"/>
      <x:c r="G237" s="22"/>
      <x:c r="H237" s="22"/>
      <x:c r="I237" s="22"/>
      <x:c r="J237" s="26"/>
      <x:c r="K237" s="22"/>
      <x:c r="L237" s="26"/>
      <x:c r="M237" s="26"/>
      <x:c r="N237" s="28"/>
      <x:c r="O237" s="26"/>
      <x:c r="P237" s="26"/>
      <x:c r="Q237" s="22"/>
      <x:c r="R237" s="22"/>
      <x:c r="S237" s="22"/>
      <x:c r="T237" s="22"/>
      <x:c r="U237" s="22" t="str">
        <x:f>IF(OR(P237="",K237="Завершён",K237="Закрыт без продукта"),"",P237-TODAY())</x:f>
      </x:c>
    </x:row>
    <x:row r="238">
      <x:c r="A238" s="22" t="str">
        <x:f>IF(C238="","","RTE-"&amp;TEXT(ROW()-2,"0000"))</x:f>
      </x:c>
      <x:c r="B238" s="22"/>
      <x:c r="C238" s="22"/>
      <x:c r="D238" s="22"/>
      <x:c r="E238" s="22"/>
      <x:c r="F238" s="22"/>
      <x:c r="G238" s="22"/>
      <x:c r="H238" s="22"/>
      <x:c r="I238" s="22"/>
      <x:c r="J238" s="26"/>
      <x:c r="K238" s="22"/>
      <x:c r="L238" s="26"/>
      <x:c r="M238" s="26"/>
      <x:c r="N238" s="28"/>
      <x:c r="O238" s="26"/>
      <x:c r="P238" s="26"/>
      <x:c r="Q238" s="22"/>
      <x:c r="R238" s="22"/>
      <x:c r="S238" s="22"/>
      <x:c r="T238" s="22"/>
      <x:c r="U238" s="22" t="str">
        <x:f>IF(OR(P238="",K238="Завершён",K238="Закрыт без продукта"),"",P238-TODAY())</x:f>
      </x:c>
    </x:row>
    <x:row r="239">
      <x:c r="A239" s="22" t="str">
        <x:f>IF(C239="","","RTE-"&amp;TEXT(ROW()-2,"0000"))</x:f>
      </x:c>
      <x:c r="B239" s="22"/>
      <x:c r="C239" s="22"/>
      <x:c r="D239" s="22"/>
      <x:c r="E239" s="22"/>
      <x:c r="F239" s="22"/>
      <x:c r="G239" s="22"/>
      <x:c r="H239" s="22"/>
      <x:c r="I239" s="22"/>
      <x:c r="J239" s="26"/>
      <x:c r="K239" s="22"/>
      <x:c r="L239" s="26"/>
      <x:c r="M239" s="26"/>
      <x:c r="N239" s="28"/>
      <x:c r="O239" s="26"/>
      <x:c r="P239" s="26"/>
      <x:c r="Q239" s="22"/>
      <x:c r="R239" s="22"/>
      <x:c r="S239" s="22"/>
      <x:c r="T239" s="22"/>
      <x:c r="U239" s="22" t="str">
        <x:f>IF(OR(P239="",K239="Завершён",K239="Закрыт без продукта"),"",P239-TODAY())</x:f>
      </x:c>
    </x:row>
    <x:row r="240">
      <x:c r="A240" s="22" t="str">
        <x:f>IF(C240="","","RTE-"&amp;TEXT(ROW()-2,"0000"))</x:f>
      </x:c>
      <x:c r="B240" s="22"/>
      <x:c r="C240" s="22"/>
      <x:c r="D240" s="22"/>
      <x:c r="E240" s="22"/>
      <x:c r="F240" s="22"/>
      <x:c r="G240" s="22"/>
      <x:c r="H240" s="22"/>
      <x:c r="I240" s="22"/>
      <x:c r="J240" s="26"/>
      <x:c r="K240" s="22"/>
      <x:c r="L240" s="26"/>
      <x:c r="M240" s="26"/>
      <x:c r="N240" s="28"/>
      <x:c r="O240" s="26"/>
      <x:c r="P240" s="26"/>
      <x:c r="Q240" s="22"/>
      <x:c r="R240" s="22"/>
      <x:c r="S240" s="22"/>
      <x:c r="T240" s="22"/>
      <x:c r="U240" s="22" t="str">
        <x:f>IF(OR(P240="",K240="Завершён",K240="Закрыт без продукта"),"",P240-TODAY())</x:f>
      </x:c>
    </x:row>
    <x:row r="241">
      <x:c r="A241" s="22" t="str">
        <x:f>IF(C241="","","RTE-"&amp;TEXT(ROW()-2,"0000"))</x:f>
      </x:c>
      <x:c r="B241" s="22"/>
      <x:c r="C241" s="22"/>
      <x:c r="D241" s="22"/>
      <x:c r="E241" s="22"/>
      <x:c r="F241" s="22"/>
      <x:c r="G241" s="22"/>
      <x:c r="H241" s="22"/>
      <x:c r="I241" s="22"/>
      <x:c r="J241" s="26"/>
      <x:c r="K241" s="22"/>
      <x:c r="L241" s="26"/>
      <x:c r="M241" s="26"/>
      <x:c r="N241" s="28"/>
      <x:c r="O241" s="26"/>
      <x:c r="P241" s="26"/>
      <x:c r="Q241" s="22"/>
      <x:c r="R241" s="22"/>
      <x:c r="S241" s="22"/>
      <x:c r="T241" s="22"/>
      <x:c r="U241" s="22" t="str">
        <x:f>IF(OR(P241="",K241="Завершён",K241="Закрыт без продукта"),"",P241-TODAY())</x:f>
      </x:c>
    </x:row>
    <x:row r="242">
      <x:c r="A242" s="22" t="str">
        <x:f>IF(C242="","","RTE-"&amp;TEXT(ROW()-2,"0000"))</x:f>
      </x:c>
      <x:c r="B242" s="22"/>
      <x:c r="C242" s="22"/>
      <x:c r="D242" s="22"/>
      <x:c r="E242" s="22"/>
      <x:c r="F242" s="22"/>
      <x:c r="G242" s="22"/>
      <x:c r="H242" s="22"/>
      <x:c r="I242" s="22"/>
      <x:c r="J242" s="26"/>
      <x:c r="K242" s="22"/>
      <x:c r="L242" s="26"/>
      <x:c r="M242" s="26"/>
      <x:c r="N242" s="28"/>
      <x:c r="O242" s="26"/>
      <x:c r="P242" s="26"/>
      <x:c r="Q242" s="22"/>
      <x:c r="R242" s="22"/>
      <x:c r="S242" s="22"/>
      <x:c r="T242" s="22"/>
      <x:c r="U242" s="22" t="str">
        <x:f>IF(OR(P242="",K242="Завершён",K242="Закрыт без продукта"),"",P242-TODAY())</x:f>
      </x:c>
    </x:row>
    <x:row r="243">
      <x:c r="A243" s="22" t="str">
        <x:f>IF(C243="","","RTE-"&amp;TEXT(ROW()-2,"0000"))</x:f>
      </x:c>
      <x:c r="B243" s="22"/>
      <x:c r="C243" s="22"/>
      <x:c r="D243" s="22"/>
      <x:c r="E243" s="22"/>
      <x:c r="F243" s="22"/>
      <x:c r="G243" s="22"/>
      <x:c r="H243" s="22"/>
      <x:c r="I243" s="22"/>
      <x:c r="J243" s="26"/>
      <x:c r="K243" s="22"/>
      <x:c r="L243" s="26"/>
      <x:c r="M243" s="26"/>
      <x:c r="N243" s="28"/>
      <x:c r="O243" s="26"/>
      <x:c r="P243" s="26"/>
      <x:c r="Q243" s="22"/>
      <x:c r="R243" s="22"/>
      <x:c r="S243" s="22"/>
      <x:c r="T243" s="22"/>
      <x:c r="U243" s="22" t="str">
        <x:f>IF(OR(P243="",K243="Завершён",K243="Закрыт без продукта"),"",P243-TODAY())</x:f>
      </x:c>
    </x:row>
    <x:row r="244">
      <x:c r="A244" s="22" t="str">
        <x:f>IF(C244="","","RTE-"&amp;TEXT(ROW()-2,"0000"))</x:f>
      </x:c>
      <x:c r="B244" s="22"/>
      <x:c r="C244" s="22"/>
      <x:c r="D244" s="22"/>
      <x:c r="E244" s="22"/>
      <x:c r="F244" s="22"/>
      <x:c r="G244" s="22"/>
      <x:c r="H244" s="22"/>
      <x:c r="I244" s="22"/>
      <x:c r="J244" s="26"/>
      <x:c r="K244" s="22"/>
      <x:c r="L244" s="26"/>
      <x:c r="M244" s="26"/>
      <x:c r="N244" s="28"/>
      <x:c r="O244" s="26"/>
      <x:c r="P244" s="26"/>
      <x:c r="Q244" s="22"/>
      <x:c r="R244" s="22"/>
      <x:c r="S244" s="22"/>
      <x:c r="T244" s="22"/>
      <x:c r="U244" s="22" t="str">
        <x:f>IF(OR(P244="",K244="Завершён",K244="Закрыт без продукта"),"",P244-TODAY())</x:f>
      </x:c>
    </x:row>
    <x:row r="245">
      <x:c r="A245" s="22" t="str">
        <x:f>IF(C245="","","RTE-"&amp;TEXT(ROW()-2,"0000"))</x:f>
      </x:c>
      <x:c r="B245" s="22"/>
      <x:c r="C245" s="22"/>
      <x:c r="D245" s="22"/>
      <x:c r="E245" s="22"/>
      <x:c r="F245" s="22"/>
      <x:c r="G245" s="22"/>
      <x:c r="H245" s="22"/>
      <x:c r="I245" s="22"/>
      <x:c r="J245" s="26"/>
      <x:c r="K245" s="22"/>
      <x:c r="L245" s="26"/>
      <x:c r="M245" s="26"/>
      <x:c r="N245" s="28"/>
      <x:c r="O245" s="26"/>
      <x:c r="P245" s="26"/>
      <x:c r="Q245" s="22"/>
      <x:c r="R245" s="22"/>
      <x:c r="S245" s="22"/>
      <x:c r="T245" s="22"/>
      <x:c r="U245" s="22" t="str">
        <x:f>IF(OR(P245="",K245="Завершён",K245="Закрыт без продукта"),"",P245-TODAY())</x:f>
      </x:c>
    </x:row>
    <x:row r="246">
      <x:c r="A246" s="22" t="str">
        <x:f>IF(C246="","","RTE-"&amp;TEXT(ROW()-2,"0000"))</x:f>
      </x:c>
      <x:c r="B246" s="22"/>
      <x:c r="C246" s="22"/>
      <x:c r="D246" s="22"/>
      <x:c r="E246" s="22"/>
      <x:c r="F246" s="22"/>
      <x:c r="G246" s="22"/>
      <x:c r="H246" s="22"/>
      <x:c r="I246" s="22"/>
      <x:c r="J246" s="26"/>
      <x:c r="K246" s="22"/>
      <x:c r="L246" s="26"/>
      <x:c r="M246" s="26"/>
      <x:c r="N246" s="28"/>
      <x:c r="O246" s="26"/>
      <x:c r="P246" s="26"/>
      <x:c r="Q246" s="22"/>
      <x:c r="R246" s="22"/>
      <x:c r="S246" s="22"/>
      <x:c r="T246" s="22"/>
      <x:c r="U246" s="22" t="str">
        <x:f>IF(OR(P246="",K246="Завершён",K246="Закрыт без продукта"),"",P246-TODAY())</x:f>
      </x:c>
    </x:row>
    <x:row r="247">
      <x:c r="A247" s="22" t="str">
        <x:f>IF(C247="","","RTE-"&amp;TEXT(ROW()-2,"0000"))</x:f>
      </x:c>
      <x:c r="B247" s="22"/>
      <x:c r="C247" s="22"/>
      <x:c r="D247" s="22"/>
      <x:c r="E247" s="22"/>
      <x:c r="F247" s="22"/>
      <x:c r="G247" s="22"/>
      <x:c r="H247" s="22"/>
      <x:c r="I247" s="22"/>
      <x:c r="J247" s="26"/>
      <x:c r="K247" s="22"/>
      <x:c r="L247" s="26"/>
      <x:c r="M247" s="26"/>
      <x:c r="N247" s="28"/>
      <x:c r="O247" s="26"/>
      <x:c r="P247" s="26"/>
      <x:c r="Q247" s="22"/>
      <x:c r="R247" s="22"/>
      <x:c r="S247" s="22"/>
      <x:c r="T247" s="22"/>
      <x:c r="U247" s="22" t="str">
        <x:f>IF(OR(P247="",K247="Завершён",K247="Закрыт без продукта"),"",P247-TODAY())</x:f>
      </x:c>
    </x:row>
    <x:row r="248">
      <x:c r="A248" s="22" t="str">
        <x:f>IF(C248="","","RTE-"&amp;TEXT(ROW()-2,"0000"))</x:f>
      </x:c>
      <x:c r="B248" s="22"/>
      <x:c r="C248" s="22"/>
      <x:c r="D248" s="22"/>
      <x:c r="E248" s="22"/>
      <x:c r="F248" s="22"/>
      <x:c r="G248" s="22"/>
      <x:c r="H248" s="22"/>
      <x:c r="I248" s="22"/>
      <x:c r="J248" s="26"/>
      <x:c r="K248" s="22"/>
      <x:c r="L248" s="26"/>
      <x:c r="M248" s="26"/>
      <x:c r="N248" s="28"/>
      <x:c r="O248" s="26"/>
      <x:c r="P248" s="26"/>
      <x:c r="Q248" s="22"/>
      <x:c r="R248" s="22"/>
      <x:c r="S248" s="22"/>
      <x:c r="T248" s="22"/>
      <x:c r="U248" s="22" t="str">
        <x:f>IF(OR(P248="",K248="Завершён",K248="Закрыт без продукта"),"",P248-TODAY())</x:f>
      </x:c>
    </x:row>
    <x:row r="249">
      <x:c r="A249" s="22" t="str">
        <x:f>IF(C249="","","RTE-"&amp;TEXT(ROW()-2,"0000"))</x:f>
      </x:c>
      <x:c r="B249" s="22"/>
      <x:c r="C249" s="22"/>
      <x:c r="D249" s="22"/>
      <x:c r="E249" s="22"/>
      <x:c r="F249" s="22"/>
      <x:c r="G249" s="22"/>
      <x:c r="H249" s="22"/>
      <x:c r="I249" s="22"/>
      <x:c r="J249" s="26"/>
      <x:c r="K249" s="22"/>
      <x:c r="L249" s="26"/>
      <x:c r="M249" s="26"/>
      <x:c r="N249" s="28"/>
      <x:c r="O249" s="26"/>
      <x:c r="P249" s="26"/>
      <x:c r="Q249" s="22"/>
      <x:c r="R249" s="22"/>
      <x:c r="S249" s="22"/>
      <x:c r="T249" s="22"/>
      <x:c r="U249" s="22" t="str">
        <x:f>IF(OR(P249="",K249="Завершён",K249="Закрыт без продукта"),"",P249-TODAY())</x:f>
      </x:c>
    </x:row>
    <x:row r="250">
      <x:c r="A250" s="22" t="str">
        <x:f>IF(C250="","","RTE-"&amp;TEXT(ROW()-2,"0000"))</x:f>
      </x:c>
      <x:c r="B250" s="22"/>
      <x:c r="C250" s="22"/>
      <x:c r="D250" s="22"/>
      <x:c r="E250" s="22"/>
      <x:c r="F250" s="22"/>
      <x:c r="G250" s="22"/>
      <x:c r="H250" s="22"/>
      <x:c r="I250" s="22"/>
      <x:c r="J250" s="26"/>
      <x:c r="K250" s="22"/>
      <x:c r="L250" s="26"/>
      <x:c r="M250" s="26"/>
      <x:c r="N250" s="28"/>
      <x:c r="O250" s="26"/>
      <x:c r="P250" s="26"/>
      <x:c r="Q250" s="22"/>
      <x:c r="R250" s="22"/>
      <x:c r="S250" s="22"/>
      <x:c r="T250" s="22"/>
      <x:c r="U250" s="22" t="str">
        <x:f>IF(OR(P250="",K250="Завершён",K250="Закрыт без продукта"),"",P250-TODAY())</x:f>
      </x:c>
    </x:row>
    <x:row r="251">
      <x:c r="A251" s="22" t="str">
        <x:f>IF(C251="","","RTE-"&amp;TEXT(ROW()-2,"0000"))</x:f>
      </x:c>
      <x:c r="B251" s="22"/>
      <x:c r="C251" s="22"/>
      <x:c r="D251" s="22"/>
      <x:c r="E251" s="22"/>
      <x:c r="F251" s="22"/>
      <x:c r="G251" s="22"/>
      <x:c r="H251" s="22"/>
      <x:c r="I251" s="22"/>
      <x:c r="J251" s="26"/>
      <x:c r="K251" s="22"/>
      <x:c r="L251" s="26"/>
      <x:c r="M251" s="26"/>
      <x:c r="N251" s="28"/>
      <x:c r="O251" s="26"/>
      <x:c r="P251" s="26"/>
      <x:c r="Q251" s="22"/>
      <x:c r="R251" s="22"/>
      <x:c r="S251" s="22"/>
      <x:c r="T251" s="22"/>
      <x:c r="U251" s="22" t="str">
        <x:f>IF(OR(P251="",K251="Завершён",K251="Закрыт без продукта"),"",P251-TODAY())</x:f>
      </x:c>
    </x:row>
    <x:row r="252">
      <x:c r="A252" s="22" t="str">
        <x:f>IF(C252="","","RTE-"&amp;TEXT(ROW()-2,"0000"))</x:f>
      </x:c>
      <x:c r="B252" s="22"/>
      <x:c r="C252" s="22"/>
      <x:c r="D252" s="22"/>
      <x:c r="E252" s="22"/>
      <x:c r="F252" s="22"/>
      <x:c r="G252" s="22"/>
      <x:c r="H252" s="22"/>
      <x:c r="I252" s="22"/>
      <x:c r="J252" s="26"/>
      <x:c r="K252" s="22"/>
      <x:c r="L252" s="26"/>
      <x:c r="M252" s="26"/>
      <x:c r="N252" s="28"/>
      <x:c r="O252" s="26"/>
      <x:c r="P252" s="26"/>
      <x:c r="Q252" s="22"/>
      <x:c r="R252" s="22"/>
      <x:c r="S252" s="22"/>
      <x:c r="T252" s="22"/>
      <x:c r="U252" s="22" t="str">
        <x:f>IF(OR(P252="",K252="Завершён",K252="Закрыт без продукта"),"",P252-TODAY())</x:f>
      </x:c>
    </x:row>
    <x:row r="253">
      <x:c r="A253" s="22" t="str">
        <x:f>IF(C253="","","RTE-"&amp;TEXT(ROW()-2,"0000"))</x:f>
      </x:c>
      <x:c r="B253" s="22"/>
      <x:c r="C253" s="22"/>
      <x:c r="D253" s="22"/>
      <x:c r="E253" s="22"/>
      <x:c r="F253" s="22"/>
      <x:c r="G253" s="22"/>
      <x:c r="H253" s="22"/>
      <x:c r="I253" s="22"/>
      <x:c r="J253" s="26"/>
      <x:c r="K253" s="22"/>
      <x:c r="L253" s="26"/>
      <x:c r="M253" s="26"/>
      <x:c r="N253" s="28"/>
      <x:c r="O253" s="26"/>
      <x:c r="P253" s="26"/>
      <x:c r="Q253" s="22"/>
      <x:c r="R253" s="22"/>
      <x:c r="S253" s="22"/>
      <x:c r="T253" s="22"/>
      <x:c r="U253" s="22" t="str">
        <x:f>IF(OR(P253="",K253="Завершён",K253="Закрыт без продукта"),"",P253-TODAY())</x:f>
      </x:c>
    </x:row>
    <x:row r="254">
      <x:c r="A254" s="22" t="str">
        <x:f>IF(C254="","","RTE-"&amp;TEXT(ROW()-2,"0000"))</x:f>
      </x:c>
      <x:c r="B254" s="22"/>
      <x:c r="C254" s="22"/>
      <x:c r="D254" s="22"/>
      <x:c r="E254" s="22"/>
      <x:c r="F254" s="22"/>
      <x:c r="G254" s="22"/>
      <x:c r="H254" s="22"/>
      <x:c r="I254" s="22"/>
      <x:c r="J254" s="26"/>
      <x:c r="K254" s="22"/>
      <x:c r="L254" s="26"/>
      <x:c r="M254" s="26"/>
      <x:c r="N254" s="28"/>
      <x:c r="O254" s="26"/>
      <x:c r="P254" s="26"/>
      <x:c r="Q254" s="22"/>
      <x:c r="R254" s="22"/>
      <x:c r="S254" s="22"/>
      <x:c r="T254" s="22"/>
      <x:c r="U254" s="22" t="str">
        <x:f>IF(OR(P254="",K254="Завершён",K254="Закрыт без продукта"),"",P254-TODAY())</x:f>
      </x:c>
    </x:row>
    <x:row r="255">
      <x:c r="A255" s="22" t="str">
        <x:f>IF(C255="","","RTE-"&amp;TEXT(ROW()-2,"0000"))</x:f>
      </x:c>
      <x:c r="B255" s="22"/>
      <x:c r="C255" s="22"/>
      <x:c r="D255" s="22"/>
      <x:c r="E255" s="22"/>
      <x:c r="F255" s="22"/>
      <x:c r="G255" s="22"/>
      <x:c r="H255" s="22"/>
      <x:c r="I255" s="22"/>
      <x:c r="J255" s="26"/>
      <x:c r="K255" s="22"/>
      <x:c r="L255" s="26"/>
      <x:c r="M255" s="26"/>
      <x:c r="N255" s="28"/>
      <x:c r="O255" s="26"/>
      <x:c r="P255" s="26"/>
      <x:c r="Q255" s="22"/>
      <x:c r="R255" s="22"/>
      <x:c r="S255" s="22"/>
      <x:c r="T255" s="22"/>
      <x:c r="U255" s="22" t="str">
        <x:f>IF(OR(P255="",K255="Завершён",K255="Закрыт без продукта"),"",P255-TODAY())</x:f>
      </x:c>
    </x:row>
    <x:row r="256">
      <x:c r="A256" s="22" t="str">
        <x:f>IF(C256="","","RTE-"&amp;TEXT(ROW()-2,"0000"))</x:f>
      </x:c>
      <x:c r="B256" s="22"/>
      <x:c r="C256" s="22"/>
      <x:c r="D256" s="22"/>
      <x:c r="E256" s="22"/>
      <x:c r="F256" s="22"/>
      <x:c r="G256" s="22"/>
      <x:c r="H256" s="22"/>
      <x:c r="I256" s="22"/>
      <x:c r="J256" s="26"/>
      <x:c r="K256" s="22"/>
      <x:c r="L256" s="26"/>
      <x:c r="M256" s="26"/>
      <x:c r="N256" s="28"/>
      <x:c r="O256" s="26"/>
      <x:c r="P256" s="26"/>
      <x:c r="Q256" s="22"/>
      <x:c r="R256" s="22"/>
      <x:c r="S256" s="22"/>
      <x:c r="T256" s="22"/>
      <x:c r="U256" s="22" t="str">
        <x:f>IF(OR(P256="",K256="Завершён",K256="Закрыт без продукта"),"",P256-TODAY())</x:f>
      </x:c>
    </x:row>
    <x:row r="257">
      <x:c r="A257" s="22" t="str">
        <x:f>IF(C257="","","RTE-"&amp;TEXT(ROW()-2,"0000"))</x:f>
      </x:c>
      <x:c r="B257" s="22"/>
      <x:c r="C257" s="22"/>
      <x:c r="D257" s="22"/>
      <x:c r="E257" s="22"/>
      <x:c r="F257" s="22"/>
      <x:c r="G257" s="22"/>
      <x:c r="H257" s="22"/>
      <x:c r="I257" s="22"/>
      <x:c r="J257" s="26"/>
      <x:c r="K257" s="22"/>
      <x:c r="L257" s="26"/>
      <x:c r="M257" s="26"/>
      <x:c r="N257" s="28"/>
      <x:c r="O257" s="26"/>
      <x:c r="P257" s="26"/>
      <x:c r="Q257" s="22"/>
      <x:c r="R257" s="22"/>
      <x:c r="S257" s="22"/>
      <x:c r="T257" s="22"/>
      <x:c r="U257" s="22" t="str">
        <x:f>IF(OR(P257="",K257="Завершён",K257="Закрыт без продукта"),"",P257-TODAY())</x:f>
      </x:c>
    </x:row>
    <x:row r="258">
      <x:c r="A258" s="22" t="str">
        <x:f>IF(C258="","","RTE-"&amp;TEXT(ROW()-2,"0000"))</x:f>
      </x:c>
      <x:c r="B258" s="22"/>
      <x:c r="C258" s="22"/>
      <x:c r="D258" s="22"/>
      <x:c r="E258" s="22"/>
      <x:c r="F258" s="22"/>
      <x:c r="G258" s="22"/>
      <x:c r="H258" s="22"/>
      <x:c r="I258" s="22"/>
      <x:c r="J258" s="26"/>
      <x:c r="K258" s="22"/>
      <x:c r="L258" s="26"/>
      <x:c r="M258" s="26"/>
      <x:c r="N258" s="28"/>
      <x:c r="O258" s="26"/>
      <x:c r="P258" s="26"/>
      <x:c r="Q258" s="22"/>
      <x:c r="R258" s="22"/>
      <x:c r="S258" s="22"/>
      <x:c r="T258" s="22"/>
      <x:c r="U258" s="22" t="str">
        <x:f>IF(OR(P258="",K258="Завершён",K258="Закрыт без продукта"),"",P258-TODAY())</x:f>
      </x:c>
    </x:row>
    <x:row r="259">
      <x:c r="A259" s="22" t="str">
        <x:f>IF(C259="","","RTE-"&amp;TEXT(ROW()-2,"0000"))</x:f>
      </x:c>
      <x:c r="B259" s="22"/>
      <x:c r="C259" s="22"/>
      <x:c r="D259" s="22"/>
      <x:c r="E259" s="22"/>
      <x:c r="F259" s="22"/>
      <x:c r="G259" s="22"/>
      <x:c r="H259" s="22"/>
      <x:c r="I259" s="22"/>
      <x:c r="J259" s="26"/>
      <x:c r="K259" s="22"/>
      <x:c r="L259" s="26"/>
      <x:c r="M259" s="26"/>
      <x:c r="N259" s="28"/>
      <x:c r="O259" s="26"/>
      <x:c r="P259" s="26"/>
      <x:c r="Q259" s="22"/>
      <x:c r="R259" s="22"/>
      <x:c r="S259" s="22"/>
      <x:c r="T259" s="22"/>
      <x:c r="U259" s="22" t="str">
        <x:f>IF(OR(P259="",K259="Завершён",K259="Закрыт без продукта"),"",P259-TODAY())</x:f>
      </x:c>
    </x:row>
    <x:row r="260">
      <x:c r="A260" s="22" t="str">
        <x:f>IF(C260="","","RTE-"&amp;TEXT(ROW()-2,"0000"))</x:f>
      </x:c>
      <x:c r="B260" s="22"/>
      <x:c r="C260" s="22"/>
      <x:c r="D260" s="22"/>
      <x:c r="E260" s="22"/>
      <x:c r="F260" s="22"/>
      <x:c r="G260" s="22"/>
      <x:c r="H260" s="22"/>
      <x:c r="I260" s="22"/>
      <x:c r="J260" s="26"/>
      <x:c r="K260" s="22"/>
      <x:c r="L260" s="26"/>
      <x:c r="M260" s="26"/>
      <x:c r="N260" s="28"/>
      <x:c r="O260" s="26"/>
      <x:c r="P260" s="26"/>
      <x:c r="Q260" s="22"/>
      <x:c r="R260" s="22"/>
      <x:c r="S260" s="22"/>
      <x:c r="T260" s="22"/>
      <x:c r="U260" s="22" t="str">
        <x:f>IF(OR(P260="",K260="Завершён",K260="Закрыт без продукта"),"",P260-TODAY())</x:f>
      </x:c>
    </x:row>
    <x:row r="261">
      <x:c r="A261" s="22" t="str">
        <x:f>IF(C261="","","RTE-"&amp;TEXT(ROW()-2,"0000"))</x:f>
      </x:c>
      <x:c r="B261" s="22"/>
      <x:c r="C261" s="22"/>
      <x:c r="D261" s="22"/>
      <x:c r="E261" s="22"/>
      <x:c r="F261" s="22"/>
      <x:c r="G261" s="22"/>
      <x:c r="H261" s="22"/>
      <x:c r="I261" s="22"/>
      <x:c r="J261" s="26"/>
      <x:c r="K261" s="22"/>
      <x:c r="L261" s="26"/>
      <x:c r="M261" s="26"/>
      <x:c r="N261" s="28"/>
      <x:c r="O261" s="26"/>
      <x:c r="P261" s="26"/>
      <x:c r="Q261" s="22"/>
      <x:c r="R261" s="22"/>
      <x:c r="S261" s="22"/>
      <x:c r="T261" s="22"/>
      <x:c r="U261" s="22" t="str">
        <x:f>IF(OR(P261="",K261="Завершён",K261="Закрыт без продукта"),"",P261-TODAY())</x:f>
      </x:c>
    </x:row>
    <x:row r="262">
      <x:c r="A262" s="22" t="str">
        <x:f>IF(C262="","","RTE-"&amp;TEXT(ROW()-2,"0000"))</x:f>
      </x:c>
      <x:c r="B262" s="22"/>
      <x:c r="C262" s="22"/>
      <x:c r="D262" s="22"/>
      <x:c r="E262" s="22"/>
      <x:c r="F262" s="22"/>
      <x:c r="G262" s="22"/>
      <x:c r="H262" s="22"/>
      <x:c r="I262" s="22"/>
      <x:c r="J262" s="26"/>
      <x:c r="K262" s="22"/>
      <x:c r="L262" s="26"/>
      <x:c r="M262" s="26"/>
      <x:c r="N262" s="28"/>
      <x:c r="O262" s="26"/>
      <x:c r="P262" s="26"/>
      <x:c r="Q262" s="22"/>
      <x:c r="R262" s="22"/>
      <x:c r="S262" s="22"/>
      <x:c r="T262" s="22"/>
      <x:c r="U262" s="22" t="str">
        <x:f>IF(OR(P262="",K262="Завершён",K262="Закрыт без продукта"),"",P262-TODAY())</x:f>
      </x:c>
    </x:row>
    <x:row r="263">
      <x:c r="A263" s="22" t="str">
        <x:f>IF(C263="","","RTE-"&amp;TEXT(ROW()-2,"0000"))</x:f>
      </x:c>
      <x:c r="B263" s="22"/>
      <x:c r="C263" s="22"/>
      <x:c r="D263" s="22"/>
      <x:c r="E263" s="22"/>
      <x:c r="F263" s="22"/>
      <x:c r="G263" s="22"/>
      <x:c r="H263" s="22"/>
      <x:c r="I263" s="22"/>
      <x:c r="J263" s="26"/>
      <x:c r="K263" s="22"/>
      <x:c r="L263" s="26"/>
      <x:c r="M263" s="26"/>
      <x:c r="N263" s="28"/>
      <x:c r="O263" s="26"/>
      <x:c r="P263" s="26"/>
      <x:c r="Q263" s="22"/>
      <x:c r="R263" s="22"/>
      <x:c r="S263" s="22"/>
      <x:c r="T263" s="22"/>
      <x:c r="U263" s="22" t="str">
        <x:f>IF(OR(P263="",K263="Завершён",K263="Закрыт без продукта"),"",P263-TODAY())</x:f>
      </x:c>
    </x:row>
    <x:row r="264">
      <x:c r="A264" s="22" t="str">
        <x:f>IF(C264="","","RTE-"&amp;TEXT(ROW()-2,"0000"))</x:f>
      </x:c>
      <x:c r="B264" s="22"/>
      <x:c r="C264" s="22"/>
      <x:c r="D264" s="22"/>
      <x:c r="E264" s="22"/>
      <x:c r="F264" s="22"/>
      <x:c r="G264" s="22"/>
      <x:c r="H264" s="22"/>
      <x:c r="I264" s="22"/>
      <x:c r="J264" s="26"/>
      <x:c r="K264" s="22"/>
      <x:c r="L264" s="26"/>
      <x:c r="M264" s="26"/>
      <x:c r="N264" s="28"/>
      <x:c r="O264" s="26"/>
      <x:c r="P264" s="26"/>
      <x:c r="Q264" s="22"/>
      <x:c r="R264" s="22"/>
      <x:c r="S264" s="22"/>
      <x:c r="T264" s="22"/>
      <x:c r="U264" s="22" t="str">
        <x:f>IF(OR(P264="",K264="Завершён",K264="Закрыт без продукта"),"",P264-TODAY())</x:f>
      </x:c>
    </x:row>
    <x:row r="265">
      <x:c r="A265" s="22" t="str">
        <x:f>IF(C265="","","RTE-"&amp;TEXT(ROW()-2,"0000"))</x:f>
      </x:c>
      <x:c r="B265" s="22"/>
      <x:c r="C265" s="22"/>
      <x:c r="D265" s="22"/>
      <x:c r="E265" s="22"/>
      <x:c r="F265" s="22"/>
      <x:c r="G265" s="22"/>
      <x:c r="H265" s="22"/>
      <x:c r="I265" s="22"/>
      <x:c r="J265" s="26"/>
      <x:c r="K265" s="22"/>
      <x:c r="L265" s="26"/>
      <x:c r="M265" s="26"/>
      <x:c r="N265" s="28"/>
      <x:c r="O265" s="26"/>
      <x:c r="P265" s="26"/>
      <x:c r="Q265" s="22"/>
      <x:c r="R265" s="22"/>
      <x:c r="S265" s="22"/>
      <x:c r="T265" s="22"/>
      <x:c r="U265" s="22" t="str">
        <x:f>IF(OR(P265="",K265="Завершён",K265="Закрыт без продукта"),"",P265-TODAY())</x:f>
      </x:c>
    </x:row>
    <x:row r="266">
      <x:c r="A266" s="22" t="str">
        <x:f>IF(C266="","","RTE-"&amp;TEXT(ROW()-2,"0000"))</x:f>
      </x:c>
      <x:c r="B266" s="22"/>
      <x:c r="C266" s="22"/>
      <x:c r="D266" s="22"/>
      <x:c r="E266" s="22"/>
      <x:c r="F266" s="22"/>
      <x:c r="G266" s="22"/>
      <x:c r="H266" s="22"/>
      <x:c r="I266" s="22"/>
      <x:c r="J266" s="26"/>
      <x:c r="K266" s="22"/>
      <x:c r="L266" s="26"/>
      <x:c r="M266" s="26"/>
      <x:c r="N266" s="28"/>
      <x:c r="O266" s="26"/>
      <x:c r="P266" s="26"/>
      <x:c r="Q266" s="22"/>
      <x:c r="R266" s="22"/>
      <x:c r="S266" s="22"/>
      <x:c r="T266" s="22"/>
      <x:c r="U266" s="22" t="str">
        <x:f>IF(OR(P266="",K266="Завершён",K266="Закрыт без продукта"),"",P266-TODAY())</x:f>
      </x:c>
    </x:row>
    <x:row r="267">
      <x:c r="A267" s="22" t="str">
        <x:f>IF(C267="","","RTE-"&amp;TEXT(ROW()-2,"0000"))</x:f>
      </x:c>
      <x:c r="B267" s="22"/>
      <x:c r="C267" s="22"/>
      <x:c r="D267" s="22"/>
      <x:c r="E267" s="22"/>
      <x:c r="F267" s="22"/>
      <x:c r="G267" s="22"/>
      <x:c r="H267" s="22"/>
      <x:c r="I267" s="22"/>
      <x:c r="J267" s="26"/>
      <x:c r="K267" s="22"/>
      <x:c r="L267" s="26"/>
      <x:c r="M267" s="26"/>
      <x:c r="N267" s="28"/>
      <x:c r="O267" s="26"/>
      <x:c r="P267" s="26"/>
      <x:c r="Q267" s="22"/>
      <x:c r="R267" s="22"/>
      <x:c r="S267" s="22"/>
      <x:c r="T267" s="22"/>
      <x:c r="U267" s="22" t="str">
        <x:f>IF(OR(P267="",K267="Завершён",K267="Закрыт без продукта"),"",P267-TODAY())</x:f>
      </x:c>
    </x:row>
    <x:row r="268">
      <x:c r="A268" s="22" t="str">
        <x:f>IF(C268="","","RTE-"&amp;TEXT(ROW()-2,"0000"))</x:f>
      </x:c>
      <x:c r="B268" s="22"/>
      <x:c r="C268" s="22"/>
      <x:c r="D268" s="22"/>
      <x:c r="E268" s="22"/>
      <x:c r="F268" s="22"/>
      <x:c r="G268" s="22"/>
      <x:c r="H268" s="22"/>
      <x:c r="I268" s="22"/>
      <x:c r="J268" s="26"/>
      <x:c r="K268" s="22"/>
      <x:c r="L268" s="26"/>
      <x:c r="M268" s="26"/>
      <x:c r="N268" s="28"/>
      <x:c r="O268" s="26"/>
      <x:c r="P268" s="26"/>
      <x:c r="Q268" s="22"/>
      <x:c r="R268" s="22"/>
      <x:c r="S268" s="22"/>
      <x:c r="T268" s="22"/>
      <x:c r="U268" s="22" t="str">
        <x:f>IF(OR(P268="",K268="Завершён",K268="Закрыт без продукта"),"",P268-TODAY())</x:f>
      </x:c>
    </x:row>
    <x:row r="269">
      <x:c r="A269" s="22" t="str">
        <x:f>IF(C269="","","RTE-"&amp;TEXT(ROW()-2,"0000"))</x:f>
      </x:c>
      <x:c r="B269" s="22"/>
      <x:c r="C269" s="22"/>
      <x:c r="D269" s="22"/>
      <x:c r="E269" s="22"/>
      <x:c r="F269" s="22"/>
      <x:c r="G269" s="22"/>
      <x:c r="H269" s="22"/>
      <x:c r="I269" s="22"/>
      <x:c r="J269" s="26"/>
      <x:c r="K269" s="22"/>
      <x:c r="L269" s="26"/>
      <x:c r="M269" s="26"/>
      <x:c r="N269" s="28"/>
      <x:c r="O269" s="26"/>
      <x:c r="P269" s="26"/>
      <x:c r="Q269" s="22"/>
      <x:c r="R269" s="22"/>
      <x:c r="S269" s="22"/>
      <x:c r="T269" s="22"/>
      <x:c r="U269" s="22" t="str">
        <x:f>IF(OR(P269="",K269="Завершён",K269="Закрыт без продукта"),"",P269-TODAY())</x:f>
      </x:c>
    </x:row>
    <x:row r="270">
      <x:c r="A270" s="22" t="str">
        <x:f>IF(C270="","","RTE-"&amp;TEXT(ROW()-2,"0000"))</x:f>
      </x:c>
      <x:c r="B270" s="22"/>
      <x:c r="C270" s="22"/>
      <x:c r="D270" s="22"/>
      <x:c r="E270" s="22"/>
      <x:c r="F270" s="22"/>
      <x:c r="G270" s="22"/>
      <x:c r="H270" s="22"/>
      <x:c r="I270" s="22"/>
      <x:c r="J270" s="26"/>
      <x:c r="K270" s="22"/>
      <x:c r="L270" s="26"/>
      <x:c r="M270" s="26"/>
      <x:c r="N270" s="28"/>
      <x:c r="O270" s="26"/>
      <x:c r="P270" s="26"/>
      <x:c r="Q270" s="22"/>
      <x:c r="R270" s="22"/>
      <x:c r="S270" s="22"/>
      <x:c r="T270" s="22"/>
      <x:c r="U270" s="22" t="str">
        <x:f>IF(OR(P270="",K270="Завершён",K270="Закрыт без продукта"),"",P270-TODAY())</x:f>
      </x:c>
    </x:row>
    <x:row r="271">
      <x:c r="A271" s="22" t="str">
        <x:f>IF(C271="","","RTE-"&amp;TEXT(ROW()-2,"0000"))</x:f>
      </x:c>
      <x:c r="B271" s="22"/>
      <x:c r="C271" s="22"/>
      <x:c r="D271" s="22"/>
      <x:c r="E271" s="22"/>
      <x:c r="F271" s="22"/>
      <x:c r="G271" s="22"/>
      <x:c r="H271" s="22"/>
      <x:c r="I271" s="22"/>
      <x:c r="J271" s="26"/>
      <x:c r="K271" s="22"/>
      <x:c r="L271" s="26"/>
      <x:c r="M271" s="26"/>
      <x:c r="N271" s="28"/>
      <x:c r="O271" s="26"/>
      <x:c r="P271" s="26"/>
      <x:c r="Q271" s="22"/>
      <x:c r="R271" s="22"/>
      <x:c r="S271" s="22"/>
      <x:c r="T271" s="22"/>
      <x:c r="U271" s="22" t="str">
        <x:f>IF(OR(P271="",K271="Завершён",K271="Закрыт без продукта"),"",P271-TODAY())</x:f>
      </x:c>
    </x:row>
    <x:row r="272">
      <x:c r="A272" s="22" t="str">
        <x:f>IF(C272="","","RTE-"&amp;TEXT(ROW()-2,"0000"))</x:f>
      </x:c>
      <x:c r="B272" s="22"/>
      <x:c r="C272" s="22"/>
      <x:c r="D272" s="22"/>
      <x:c r="E272" s="22"/>
      <x:c r="F272" s="22"/>
      <x:c r="G272" s="22"/>
      <x:c r="H272" s="22"/>
      <x:c r="I272" s="22"/>
      <x:c r="J272" s="26"/>
      <x:c r="K272" s="22"/>
      <x:c r="L272" s="26"/>
      <x:c r="M272" s="26"/>
      <x:c r="N272" s="28"/>
      <x:c r="O272" s="26"/>
      <x:c r="P272" s="26"/>
      <x:c r="Q272" s="22"/>
      <x:c r="R272" s="22"/>
      <x:c r="S272" s="22"/>
      <x:c r="T272" s="22"/>
      <x:c r="U272" s="22" t="str">
        <x:f>IF(OR(P272="",K272="Завершён",K272="Закрыт без продукта"),"",P272-TODAY())</x:f>
      </x:c>
    </x:row>
    <x:row r="273">
      <x:c r="A273" s="22" t="str">
        <x:f>IF(C273="","","RTE-"&amp;TEXT(ROW()-2,"0000"))</x:f>
      </x:c>
      <x:c r="B273" s="22"/>
      <x:c r="C273" s="22"/>
      <x:c r="D273" s="22"/>
      <x:c r="E273" s="22"/>
      <x:c r="F273" s="22"/>
      <x:c r="G273" s="22"/>
      <x:c r="H273" s="22"/>
      <x:c r="I273" s="22"/>
      <x:c r="J273" s="26"/>
      <x:c r="K273" s="22"/>
      <x:c r="L273" s="26"/>
      <x:c r="M273" s="26"/>
      <x:c r="N273" s="28"/>
      <x:c r="O273" s="26"/>
      <x:c r="P273" s="26"/>
      <x:c r="Q273" s="22"/>
      <x:c r="R273" s="22"/>
      <x:c r="S273" s="22"/>
      <x:c r="T273" s="22"/>
      <x:c r="U273" s="22" t="str">
        <x:f>IF(OR(P273="",K273="Завершён",K273="Закрыт без продукта"),"",P273-TODAY())</x:f>
      </x:c>
    </x:row>
    <x:row r="274">
      <x:c r="A274" s="22" t="str">
        <x:f>IF(C274="","","RTE-"&amp;TEXT(ROW()-2,"0000"))</x:f>
      </x:c>
      <x:c r="B274" s="22"/>
      <x:c r="C274" s="22"/>
      <x:c r="D274" s="22"/>
      <x:c r="E274" s="22"/>
      <x:c r="F274" s="22"/>
      <x:c r="G274" s="22"/>
      <x:c r="H274" s="22"/>
      <x:c r="I274" s="22"/>
      <x:c r="J274" s="26"/>
      <x:c r="K274" s="22"/>
      <x:c r="L274" s="26"/>
      <x:c r="M274" s="26"/>
      <x:c r="N274" s="28"/>
      <x:c r="O274" s="26"/>
      <x:c r="P274" s="26"/>
      <x:c r="Q274" s="22"/>
      <x:c r="R274" s="22"/>
      <x:c r="S274" s="22"/>
      <x:c r="T274" s="22"/>
      <x:c r="U274" s="22" t="str">
        <x:f>IF(OR(P274="",K274="Завершён",K274="Закрыт без продукта"),"",P274-TODAY())</x:f>
      </x:c>
    </x:row>
    <x:row r="275">
      <x:c r="A275" s="22" t="str">
        <x:f>IF(C275="","","RTE-"&amp;TEXT(ROW()-2,"0000"))</x:f>
      </x:c>
      <x:c r="B275" s="22"/>
      <x:c r="C275" s="22"/>
      <x:c r="D275" s="22"/>
      <x:c r="E275" s="22"/>
      <x:c r="F275" s="22"/>
      <x:c r="G275" s="22"/>
      <x:c r="H275" s="22"/>
      <x:c r="I275" s="22"/>
      <x:c r="J275" s="26"/>
      <x:c r="K275" s="22"/>
      <x:c r="L275" s="26"/>
      <x:c r="M275" s="26"/>
      <x:c r="N275" s="28"/>
      <x:c r="O275" s="26"/>
      <x:c r="P275" s="26"/>
      <x:c r="Q275" s="22"/>
      <x:c r="R275" s="22"/>
      <x:c r="S275" s="22"/>
      <x:c r="T275" s="22"/>
      <x:c r="U275" s="22" t="str">
        <x:f>IF(OR(P275="",K275="Завершён",K275="Закрыт без продукта"),"",P275-TODAY())</x:f>
      </x:c>
    </x:row>
    <x:row r="276">
      <x:c r="A276" s="22" t="str">
        <x:f>IF(C276="","","RTE-"&amp;TEXT(ROW()-2,"0000"))</x:f>
      </x:c>
      <x:c r="B276" s="22"/>
      <x:c r="C276" s="22"/>
      <x:c r="D276" s="22"/>
      <x:c r="E276" s="22"/>
      <x:c r="F276" s="22"/>
      <x:c r="G276" s="22"/>
      <x:c r="H276" s="22"/>
      <x:c r="I276" s="22"/>
      <x:c r="J276" s="26"/>
      <x:c r="K276" s="22"/>
      <x:c r="L276" s="26"/>
      <x:c r="M276" s="26"/>
      <x:c r="N276" s="28"/>
      <x:c r="O276" s="26"/>
      <x:c r="P276" s="26"/>
      <x:c r="Q276" s="22"/>
      <x:c r="R276" s="22"/>
      <x:c r="S276" s="22"/>
      <x:c r="T276" s="22"/>
      <x:c r="U276" s="22" t="str">
        <x:f>IF(OR(P276="",K276="Завершён",K276="Закрыт без продукта"),"",P276-TODAY())</x:f>
      </x:c>
    </x:row>
    <x:row r="277">
      <x:c r="A277" s="22" t="str">
        <x:f>IF(C277="","","RTE-"&amp;TEXT(ROW()-2,"0000"))</x:f>
      </x:c>
      <x:c r="B277" s="22"/>
      <x:c r="C277" s="22"/>
      <x:c r="D277" s="22"/>
      <x:c r="E277" s="22"/>
      <x:c r="F277" s="22"/>
      <x:c r="G277" s="22"/>
      <x:c r="H277" s="22"/>
      <x:c r="I277" s="22"/>
      <x:c r="J277" s="26"/>
      <x:c r="K277" s="22"/>
      <x:c r="L277" s="26"/>
      <x:c r="M277" s="26"/>
      <x:c r="N277" s="28"/>
      <x:c r="O277" s="26"/>
      <x:c r="P277" s="26"/>
      <x:c r="Q277" s="22"/>
      <x:c r="R277" s="22"/>
      <x:c r="S277" s="22"/>
      <x:c r="T277" s="22"/>
      <x:c r="U277" s="22" t="str">
        <x:f>IF(OR(P277="",K277="Завершён",K277="Закрыт без продукта"),"",P277-TODAY())</x:f>
      </x:c>
    </x:row>
    <x:row r="278">
      <x:c r="A278" s="22" t="str">
        <x:f>IF(C278="","","RTE-"&amp;TEXT(ROW()-2,"0000"))</x:f>
      </x:c>
      <x:c r="B278" s="22"/>
      <x:c r="C278" s="22"/>
      <x:c r="D278" s="22"/>
      <x:c r="E278" s="22"/>
      <x:c r="F278" s="22"/>
      <x:c r="G278" s="22"/>
      <x:c r="H278" s="22"/>
      <x:c r="I278" s="22"/>
      <x:c r="J278" s="26"/>
      <x:c r="K278" s="22"/>
      <x:c r="L278" s="26"/>
      <x:c r="M278" s="26"/>
      <x:c r="N278" s="28"/>
      <x:c r="O278" s="26"/>
      <x:c r="P278" s="26"/>
      <x:c r="Q278" s="22"/>
      <x:c r="R278" s="22"/>
      <x:c r="S278" s="22"/>
      <x:c r="T278" s="22"/>
      <x:c r="U278" s="22" t="str">
        <x:f>IF(OR(P278="",K278="Завершён",K278="Закрыт без продукта"),"",P278-TODAY())</x:f>
      </x:c>
    </x:row>
    <x:row r="279">
      <x:c r="A279" s="22" t="str">
        <x:f>IF(C279="","","RTE-"&amp;TEXT(ROW()-2,"0000"))</x:f>
      </x:c>
      <x:c r="B279" s="22"/>
      <x:c r="C279" s="22"/>
      <x:c r="D279" s="22"/>
      <x:c r="E279" s="22"/>
      <x:c r="F279" s="22"/>
      <x:c r="G279" s="22"/>
      <x:c r="H279" s="22"/>
      <x:c r="I279" s="22"/>
      <x:c r="J279" s="26"/>
      <x:c r="K279" s="22"/>
      <x:c r="L279" s="26"/>
      <x:c r="M279" s="26"/>
      <x:c r="N279" s="28"/>
      <x:c r="O279" s="26"/>
      <x:c r="P279" s="26"/>
      <x:c r="Q279" s="22"/>
      <x:c r="R279" s="22"/>
      <x:c r="S279" s="22"/>
      <x:c r="T279" s="22"/>
      <x:c r="U279" s="22" t="str">
        <x:f>IF(OR(P279="",K279="Завершён",K279="Закрыт без продукта"),"",P279-TODAY())</x:f>
      </x:c>
    </x:row>
    <x:row r="280">
      <x:c r="A280" s="22" t="str">
        <x:f>IF(C280="","","RTE-"&amp;TEXT(ROW()-2,"0000"))</x:f>
      </x:c>
      <x:c r="B280" s="22"/>
      <x:c r="C280" s="22"/>
      <x:c r="D280" s="22"/>
      <x:c r="E280" s="22"/>
      <x:c r="F280" s="22"/>
      <x:c r="G280" s="22"/>
      <x:c r="H280" s="22"/>
      <x:c r="I280" s="22"/>
      <x:c r="J280" s="26"/>
      <x:c r="K280" s="22"/>
      <x:c r="L280" s="26"/>
      <x:c r="M280" s="26"/>
      <x:c r="N280" s="28"/>
      <x:c r="O280" s="26"/>
      <x:c r="P280" s="26"/>
      <x:c r="Q280" s="22"/>
      <x:c r="R280" s="22"/>
      <x:c r="S280" s="22"/>
      <x:c r="T280" s="22"/>
      <x:c r="U280" s="22" t="str">
        <x:f>IF(OR(P280="",K280="Завершён",K280="Закрыт без продукта"),"",P280-TODAY())</x:f>
      </x:c>
    </x:row>
    <x:row r="281">
      <x:c r="A281" s="22" t="str">
        <x:f>IF(C281="","","RTE-"&amp;TEXT(ROW()-2,"0000"))</x:f>
      </x:c>
      <x:c r="B281" s="22"/>
      <x:c r="C281" s="22"/>
      <x:c r="D281" s="22"/>
      <x:c r="E281" s="22"/>
      <x:c r="F281" s="22"/>
      <x:c r="G281" s="22"/>
      <x:c r="H281" s="22"/>
      <x:c r="I281" s="22"/>
      <x:c r="J281" s="26"/>
      <x:c r="K281" s="22"/>
      <x:c r="L281" s="26"/>
      <x:c r="M281" s="26"/>
      <x:c r="N281" s="28"/>
      <x:c r="O281" s="26"/>
      <x:c r="P281" s="26"/>
      <x:c r="Q281" s="22"/>
      <x:c r="R281" s="22"/>
      <x:c r="S281" s="22"/>
      <x:c r="T281" s="22"/>
      <x:c r="U281" s="22" t="str">
        <x:f>IF(OR(P281="",K281="Завершён",K281="Закрыт без продукта"),"",P281-TODAY())</x:f>
      </x:c>
    </x:row>
    <x:row r="282">
      <x:c r="A282" s="22" t="str">
        <x:f>IF(C282="","","RTE-"&amp;TEXT(ROW()-2,"0000"))</x:f>
      </x:c>
      <x:c r="B282" s="22"/>
      <x:c r="C282" s="22"/>
      <x:c r="D282" s="22"/>
      <x:c r="E282" s="22"/>
      <x:c r="F282" s="22"/>
      <x:c r="G282" s="22"/>
      <x:c r="H282" s="22"/>
      <x:c r="I282" s="22"/>
      <x:c r="J282" s="26"/>
      <x:c r="K282" s="22"/>
      <x:c r="L282" s="26"/>
      <x:c r="M282" s="26"/>
      <x:c r="N282" s="28"/>
      <x:c r="O282" s="26"/>
      <x:c r="P282" s="26"/>
      <x:c r="Q282" s="22"/>
      <x:c r="R282" s="22"/>
      <x:c r="S282" s="22"/>
      <x:c r="T282" s="22"/>
      <x:c r="U282" s="22" t="str">
        <x:f>IF(OR(P282="",K282="Завершён",K282="Закрыт без продукта"),"",P282-TODAY())</x:f>
      </x:c>
    </x:row>
    <x:row r="283">
      <x:c r="A283" s="22" t="str">
        <x:f>IF(C283="","","RTE-"&amp;TEXT(ROW()-2,"0000"))</x:f>
      </x:c>
      <x:c r="B283" s="22"/>
      <x:c r="C283" s="22"/>
      <x:c r="D283" s="22"/>
      <x:c r="E283" s="22"/>
      <x:c r="F283" s="22"/>
      <x:c r="G283" s="22"/>
      <x:c r="H283" s="22"/>
      <x:c r="I283" s="22"/>
      <x:c r="J283" s="26"/>
      <x:c r="K283" s="22"/>
      <x:c r="L283" s="26"/>
      <x:c r="M283" s="26"/>
      <x:c r="N283" s="28"/>
      <x:c r="O283" s="26"/>
      <x:c r="P283" s="26"/>
      <x:c r="Q283" s="22"/>
      <x:c r="R283" s="22"/>
      <x:c r="S283" s="22"/>
      <x:c r="T283" s="22"/>
      <x:c r="U283" s="22" t="str">
        <x:f>IF(OR(P283="",K283="Завершён",K283="Закрыт без продукта"),"",P283-TODAY())</x:f>
      </x:c>
    </x:row>
    <x:row r="284">
      <x:c r="A284" s="22" t="str">
        <x:f>IF(C284="","","RTE-"&amp;TEXT(ROW()-2,"0000"))</x:f>
      </x:c>
      <x:c r="B284" s="22"/>
      <x:c r="C284" s="22"/>
      <x:c r="D284" s="22"/>
      <x:c r="E284" s="22"/>
      <x:c r="F284" s="22"/>
      <x:c r="G284" s="22"/>
      <x:c r="H284" s="22"/>
      <x:c r="I284" s="22"/>
      <x:c r="J284" s="26"/>
      <x:c r="K284" s="22"/>
      <x:c r="L284" s="26"/>
      <x:c r="M284" s="26"/>
      <x:c r="N284" s="28"/>
      <x:c r="O284" s="26"/>
      <x:c r="P284" s="26"/>
      <x:c r="Q284" s="22"/>
      <x:c r="R284" s="22"/>
      <x:c r="S284" s="22"/>
      <x:c r="T284" s="22"/>
      <x:c r="U284" s="22" t="str">
        <x:f>IF(OR(P284="",K284="Завершён",K284="Закрыт без продукта"),"",P284-TODAY())</x:f>
      </x:c>
    </x:row>
    <x:row r="285">
      <x:c r="A285" s="22" t="str">
        <x:f>IF(C285="","","RTE-"&amp;TEXT(ROW()-2,"0000"))</x:f>
      </x:c>
      <x:c r="B285" s="22"/>
      <x:c r="C285" s="22"/>
      <x:c r="D285" s="22"/>
      <x:c r="E285" s="22"/>
      <x:c r="F285" s="22"/>
      <x:c r="G285" s="22"/>
      <x:c r="H285" s="22"/>
      <x:c r="I285" s="22"/>
      <x:c r="J285" s="26"/>
      <x:c r="K285" s="22"/>
      <x:c r="L285" s="26"/>
      <x:c r="M285" s="26"/>
      <x:c r="N285" s="28"/>
      <x:c r="O285" s="26"/>
      <x:c r="P285" s="26"/>
      <x:c r="Q285" s="22"/>
      <x:c r="R285" s="22"/>
      <x:c r="S285" s="22"/>
      <x:c r="T285" s="22"/>
      <x:c r="U285" s="22" t="str">
        <x:f>IF(OR(P285="",K285="Завершён",K285="Закрыт без продукта"),"",P285-TODAY())</x:f>
      </x:c>
    </x:row>
    <x:row r="286">
      <x:c r="A286" s="22" t="str">
        <x:f>IF(C286="","","RTE-"&amp;TEXT(ROW()-2,"0000"))</x:f>
      </x:c>
      <x:c r="B286" s="22"/>
      <x:c r="C286" s="22"/>
      <x:c r="D286" s="22"/>
      <x:c r="E286" s="22"/>
      <x:c r="F286" s="22"/>
      <x:c r="G286" s="22"/>
      <x:c r="H286" s="22"/>
      <x:c r="I286" s="22"/>
      <x:c r="J286" s="26"/>
      <x:c r="K286" s="22"/>
      <x:c r="L286" s="26"/>
      <x:c r="M286" s="26"/>
      <x:c r="N286" s="28"/>
      <x:c r="O286" s="26"/>
      <x:c r="P286" s="26"/>
      <x:c r="Q286" s="22"/>
      <x:c r="R286" s="22"/>
      <x:c r="S286" s="22"/>
      <x:c r="T286" s="22"/>
      <x:c r="U286" s="22" t="str">
        <x:f>IF(OR(P286="",K286="Завершён",K286="Закрыт без продукта"),"",P286-TODAY())</x:f>
      </x:c>
    </x:row>
    <x:row r="287">
      <x:c r="A287" s="22" t="str">
        <x:f>IF(C287="","","RTE-"&amp;TEXT(ROW()-2,"0000"))</x:f>
      </x:c>
      <x:c r="B287" s="22"/>
      <x:c r="C287" s="22"/>
      <x:c r="D287" s="22"/>
      <x:c r="E287" s="22"/>
      <x:c r="F287" s="22"/>
      <x:c r="G287" s="22"/>
      <x:c r="H287" s="22"/>
      <x:c r="I287" s="22"/>
      <x:c r="J287" s="26"/>
      <x:c r="K287" s="22"/>
      <x:c r="L287" s="26"/>
      <x:c r="M287" s="26"/>
      <x:c r="N287" s="28"/>
      <x:c r="O287" s="26"/>
      <x:c r="P287" s="26"/>
      <x:c r="Q287" s="22"/>
      <x:c r="R287" s="22"/>
      <x:c r="S287" s="22"/>
      <x:c r="T287" s="22"/>
      <x:c r="U287" s="22" t="str">
        <x:f>IF(OR(P287="",K287="Завершён",K287="Закрыт без продукта"),"",P287-TODAY())</x:f>
      </x:c>
    </x:row>
    <x:row r="288">
      <x:c r="A288" s="22" t="str">
        <x:f>IF(C288="","","RTE-"&amp;TEXT(ROW()-2,"0000"))</x:f>
      </x:c>
      <x:c r="B288" s="22"/>
      <x:c r="C288" s="22"/>
      <x:c r="D288" s="22"/>
      <x:c r="E288" s="22"/>
      <x:c r="F288" s="22"/>
      <x:c r="G288" s="22"/>
      <x:c r="H288" s="22"/>
      <x:c r="I288" s="22"/>
      <x:c r="J288" s="26"/>
      <x:c r="K288" s="22"/>
      <x:c r="L288" s="26"/>
      <x:c r="M288" s="26"/>
      <x:c r="N288" s="28"/>
      <x:c r="O288" s="26"/>
      <x:c r="P288" s="26"/>
      <x:c r="Q288" s="22"/>
      <x:c r="R288" s="22"/>
      <x:c r="S288" s="22"/>
      <x:c r="T288" s="22"/>
      <x:c r="U288" s="22" t="str">
        <x:f>IF(OR(P288="",K288="Завершён",K288="Закрыт без продукта"),"",P288-TODAY())</x:f>
      </x:c>
    </x:row>
    <x:row r="289">
      <x:c r="A289" s="22" t="str">
        <x:f>IF(C289="","","RTE-"&amp;TEXT(ROW()-2,"0000"))</x:f>
      </x:c>
      <x:c r="B289" s="22"/>
      <x:c r="C289" s="22"/>
      <x:c r="D289" s="22"/>
      <x:c r="E289" s="22"/>
      <x:c r="F289" s="22"/>
      <x:c r="G289" s="22"/>
      <x:c r="H289" s="22"/>
      <x:c r="I289" s="22"/>
      <x:c r="J289" s="26"/>
      <x:c r="K289" s="22"/>
      <x:c r="L289" s="26"/>
      <x:c r="M289" s="26"/>
      <x:c r="N289" s="28"/>
      <x:c r="O289" s="26"/>
      <x:c r="P289" s="26"/>
      <x:c r="Q289" s="22"/>
      <x:c r="R289" s="22"/>
      <x:c r="S289" s="22"/>
      <x:c r="T289" s="22"/>
      <x:c r="U289" s="22" t="str">
        <x:f>IF(OR(P289="",K289="Завершён",K289="Закрыт без продукта"),"",P289-TODAY())</x:f>
      </x:c>
    </x:row>
    <x:row r="290">
      <x:c r="A290" s="22" t="str">
        <x:f>IF(C290="","","RTE-"&amp;TEXT(ROW()-2,"0000"))</x:f>
      </x:c>
      <x:c r="B290" s="22"/>
      <x:c r="C290" s="22"/>
      <x:c r="D290" s="22"/>
      <x:c r="E290" s="22"/>
      <x:c r="F290" s="22"/>
      <x:c r="G290" s="22"/>
      <x:c r="H290" s="22"/>
      <x:c r="I290" s="22"/>
      <x:c r="J290" s="26"/>
      <x:c r="K290" s="22"/>
      <x:c r="L290" s="26"/>
      <x:c r="M290" s="26"/>
      <x:c r="N290" s="28"/>
      <x:c r="O290" s="26"/>
      <x:c r="P290" s="26"/>
      <x:c r="Q290" s="22"/>
      <x:c r="R290" s="22"/>
      <x:c r="S290" s="22"/>
      <x:c r="T290" s="22"/>
      <x:c r="U290" s="22" t="str">
        <x:f>IF(OR(P290="",K290="Завершён",K290="Закрыт без продукта"),"",P290-TODAY())</x:f>
      </x:c>
    </x:row>
    <x:row r="291">
      <x:c r="A291" s="22" t="str">
        <x:f>IF(C291="","","RTE-"&amp;TEXT(ROW()-2,"0000"))</x:f>
      </x:c>
      <x:c r="B291" s="22"/>
      <x:c r="C291" s="22"/>
      <x:c r="D291" s="22"/>
      <x:c r="E291" s="22"/>
      <x:c r="F291" s="22"/>
      <x:c r="G291" s="22"/>
      <x:c r="H291" s="22"/>
      <x:c r="I291" s="22"/>
      <x:c r="J291" s="26"/>
      <x:c r="K291" s="22"/>
      <x:c r="L291" s="26"/>
      <x:c r="M291" s="26"/>
      <x:c r="N291" s="28"/>
      <x:c r="O291" s="26"/>
      <x:c r="P291" s="26"/>
      <x:c r="Q291" s="22"/>
      <x:c r="R291" s="22"/>
      <x:c r="S291" s="22"/>
      <x:c r="T291" s="22"/>
      <x:c r="U291" s="22" t="str">
        <x:f>IF(OR(P291="",K291="Завершён",K291="Закрыт без продукта"),"",P291-TODAY())</x:f>
      </x:c>
    </x:row>
    <x:row r="292">
      <x:c r="A292" s="22" t="str">
        <x:f>IF(C292="","","RTE-"&amp;TEXT(ROW()-2,"0000"))</x:f>
      </x:c>
      <x:c r="B292" s="22"/>
      <x:c r="C292" s="22"/>
      <x:c r="D292" s="22"/>
      <x:c r="E292" s="22"/>
      <x:c r="F292" s="22"/>
      <x:c r="G292" s="22"/>
      <x:c r="H292" s="22"/>
      <x:c r="I292" s="22"/>
      <x:c r="J292" s="26"/>
      <x:c r="K292" s="22"/>
      <x:c r="L292" s="26"/>
      <x:c r="M292" s="26"/>
      <x:c r="N292" s="28"/>
      <x:c r="O292" s="26"/>
      <x:c r="P292" s="26"/>
      <x:c r="Q292" s="22"/>
      <x:c r="R292" s="22"/>
      <x:c r="S292" s="22"/>
      <x:c r="T292" s="22"/>
      <x:c r="U292" s="22" t="str">
        <x:f>IF(OR(P292="",K292="Завершён",K292="Закрыт без продукта"),"",P292-TODAY())</x:f>
      </x:c>
    </x:row>
    <x:row r="293">
      <x:c r="A293" s="22" t="str">
        <x:f>IF(C293="","","RTE-"&amp;TEXT(ROW()-2,"0000"))</x:f>
      </x:c>
      <x:c r="B293" s="22"/>
      <x:c r="C293" s="22"/>
      <x:c r="D293" s="22"/>
      <x:c r="E293" s="22"/>
      <x:c r="F293" s="22"/>
      <x:c r="G293" s="22"/>
      <x:c r="H293" s="22"/>
      <x:c r="I293" s="22"/>
      <x:c r="J293" s="26"/>
      <x:c r="K293" s="22"/>
      <x:c r="L293" s="26"/>
      <x:c r="M293" s="26"/>
      <x:c r="N293" s="28"/>
      <x:c r="O293" s="26"/>
      <x:c r="P293" s="26"/>
      <x:c r="Q293" s="22"/>
      <x:c r="R293" s="22"/>
      <x:c r="S293" s="22"/>
      <x:c r="T293" s="22"/>
      <x:c r="U293" s="22" t="str">
        <x:f>IF(OR(P293="",K293="Завершён",K293="Закрыт без продукта"),"",P293-TODAY())</x:f>
      </x:c>
    </x:row>
    <x:row r="294">
      <x:c r="A294" s="22" t="str">
        <x:f>IF(C294="","","RTE-"&amp;TEXT(ROW()-2,"0000"))</x:f>
      </x:c>
      <x:c r="B294" s="22"/>
      <x:c r="C294" s="22"/>
      <x:c r="D294" s="22"/>
      <x:c r="E294" s="22"/>
      <x:c r="F294" s="22"/>
      <x:c r="G294" s="22"/>
      <x:c r="H294" s="22"/>
      <x:c r="I294" s="22"/>
      <x:c r="J294" s="26"/>
      <x:c r="K294" s="22"/>
      <x:c r="L294" s="26"/>
      <x:c r="M294" s="26"/>
      <x:c r="N294" s="28"/>
      <x:c r="O294" s="26"/>
      <x:c r="P294" s="26"/>
      <x:c r="Q294" s="22"/>
      <x:c r="R294" s="22"/>
      <x:c r="S294" s="22"/>
      <x:c r="T294" s="22"/>
      <x:c r="U294" s="22" t="str">
        <x:f>IF(OR(P294="",K294="Завершён",K294="Закрыт без продукта"),"",P294-TODAY())</x:f>
      </x:c>
    </x:row>
    <x:row r="295">
      <x:c r="A295" s="22" t="str">
        <x:f>IF(C295="","","RTE-"&amp;TEXT(ROW()-2,"0000"))</x:f>
      </x:c>
      <x:c r="B295" s="22"/>
      <x:c r="C295" s="22"/>
      <x:c r="D295" s="22"/>
      <x:c r="E295" s="22"/>
      <x:c r="F295" s="22"/>
      <x:c r="G295" s="22"/>
      <x:c r="H295" s="22"/>
      <x:c r="I295" s="22"/>
      <x:c r="J295" s="26"/>
      <x:c r="K295" s="22"/>
      <x:c r="L295" s="26"/>
      <x:c r="M295" s="26"/>
      <x:c r="N295" s="28"/>
      <x:c r="O295" s="26"/>
      <x:c r="P295" s="26"/>
      <x:c r="Q295" s="22"/>
      <x:c r="R295" s="22"/>
      <x:c r="S295" s="22"/>
      <x:c r="T295" s="22"/>
      <x:c r="U295" s="22" t="str">
        <x:f>IF(OR(P295="",K295="Завершён",K295="Закрыт без продукта"),"",P295-TODAY())</x:f>
      </x:c>
    </x:row>
    <x:row r="296">
      <x:c r="A296" s="22" t="str">
        <x:f>IF(C296="","","RTE-"&amp;TEXT(ROW()-2,"0000"))</x:f>
      </x:c>
      <x:c r="B296" s="22"/>
      <x:c r="C296" s="22"/>
      <x:c r="D296" s="22"/>
      <x:c r="E296" s="22"/>
      <x:c r="F296" s="22"/>
      <x:c r="G296" s="22"/>
      <x:c r="H296" s="22"/>
      <x:c r="I296" s="22"/>
      <x:c r="J296" s="26"/>
      <x:c r="K296" s="22"/>
      <x:c r="L296" s="26"/>
      <x:c r="M296" s="26"/>
      <x:c r="N296" s="28"/>
      <x:c r="O296" s="26"/>
      <x:c r="P296" s="26"/>
      <x:c r="Q296" s="22"/>
      <x:c r="R296" s="22"/>
      <x:c r="S296" s="22"/>
      <x:c r="T296" s="22"/>
      <x:c r="U296" s="22" t="str">
        <x:f>IF(OR(P296="",K296="Завершён",K296="Закрыт без продукта"),"",P296-TODAY())</x:f>
      </x:c>
    </x:row>
    <x:row r="297">
      <x:c r="A297" s="22" t="str">
        <x:f>IF(C297="","","RTE-"&amp;TEXT(ROW()-2,"0000"))</x:f>
      </x:c>
      <x:c r="B297" s="22"/>
      <x:c r="C297" s="22"/>
      <x:c r="D297" s="22"/>
      <x:c r="E297" s="22"/>
      <x:c r="F297" s="22"/>
      <x:c r="G297" s="22"/>
      <x:c r="H297" s="22"/>
      <x:c r="I297" s="22"/>
      <x:c r="J297" s="26"/>
      <x:c r="K297" s="22"/>
      <x:c r="L297" s="26"/>
      <x:c r="M297" s="26"/>
      <x:c r="N297" s="28"/>
      <x:c r="O297" s="26"/>
      <x:c r="P297" s="26"/>
      <x:c r="Q297" s="22"/>
      <x:c r="R297" s="22"/>
      <x:c r="S297" s="22"/>
      <x:c r="T297" s="22"/>
      <x:c r="U297" s="22" t="str">
        <x:f>IF(OR(P297="",K297="Завершён",K297="Закрыт без продукта"),"",P297-TODAY())</x:f>
      </x:c>
    </x:row>
    <x:row r="298">
      <x:c r="A298" s="22" t="str">
        <x:f>IF(C298="","","RTE-"&amp;TEXT(ROW()-2,"0000"))</x:f>
      </x:c>
      <x:c r="B298" s="22"/>
      <x:c r="C298" s="22"/>
      <x:c r="D298" s="22"/>
      <x:c r="E298" s="22"/>
      <x:c r="F298" s="22"/>
      <x:c r="G298" s="22"/>
      <x:c r="H298" s="22"/>
      <x:c r="I298" s="22"/>
      <x:c r="J298" s="26"/>
      <x:c r="K298" s="22"/>
      <x:c r="L298" s="26"/>
      <x:c r="M298" s="26"/>
      <x:c r="N298" s="28"/>
      <x:c r="O298" s="26"/>
      <x:c r="P298" s="26"/>
      <x:c r="Q298" s="22"/>
      <x:c r="R298" s="22"/>
      <x:c r="S298" s="22"/>
      <x:c r="T298" s="22"/>
      <x:c r="U298" s="22" t="str">
        <x:f>IF(OR(P298="",K298="Завершён",K298="Закрыт без продукта"),"",P298-TODAY())</x:f>
      </x:c>
    </x:row>
    <x:row r="299">
      <x:c r="A299" s="22" t="str">
        <x:f>IF(C299="","","RTE-"&amp;TEXT(ROW()-2,"0000"))</x:f>
      </x:c>
      <x:c r="B299" s="22"/>
      <x:c r="C299" s="22"/>
      <x:c r="D299" s="22"/>
      <x:c r="E299" s="22"/>
      <x:c r="F299" s="22"/>
      <x:c r="G299" s="22"/>
      <x:c r="H299" s="22"/>
      <x:c r="I299" s="22"/>
      <x:c r="J299" s="26"/>
      <x:c r="K299" s="22"/>
      <x:c r="L299" s="26"/>
      <x:c r="M299" s="26"/>
      <x:c r="N299" s="28"/>
      <x:c r="O299" s="26"/>
      <x:c r="P299" s="26"/>
      <x:c r="Q299" s="22"/>
      <x:c r="R299" s="22"/>
      <x:c r="S299" s="22"/>
      <x:c r="T299" s="22"/>
      <x:c r="U299" s="22" t="str">
        <x:f>IF(OR(P299="",K299="Завершён",K299="Закрыт без продукта"),"",P299-TODAY())</x:f>
      </x:c>
    </x:row>
    <x:row r="300">
      <x:c r="A300" s="22" t="str">
        <x:f>IF(C300="","","RTE-"&amp;TEXT(ROW()-2,"0000"))</x:f>
      </x:c>
      <x:c r="B300" s="22"/>
      <x:c r="C300" s="22"/>
      <x:c r="D300" s="22"/>
      <x:c r="E300" s="22"/>
      <x:c r="F300" s="22"/>
      <x:c r="G300" s="22"/>
      <x:c r="H300" s="22"/>
      <x:c r="I300" s="22"/>
      <x:c r="J300" s="26"/>
      <x:c r="K300" s="22"/>
      <x:c r="L300" s="26"/>
      <x:c r="M300" s="26"/>
      <x:c r="N300" s="28"/>
      <x:c r="O300" s="26"/>
      <x:c r="P300" s="26"/>
      <x:c r="Q300" s="22"/>
      <x:c r="R300" s="22"/>
      <x:c r="S300" s="22"/>
      <x:c r="T300" s="22"/>
      <x:c r="U300" s="22" t="str">
        <x:f>IF(OR(P300="",K300="Завершён",K300="Закрыт без продукта"),"",P300-TODAY())</x:f>
      </x:c>
    </x:row>
    <x:row r="301">
      <x:c r="A301" s="22" t="str">
        <x:f>IF(C301="","","RTE-"&amp;TEXT(ROW()-2,"0000"))</x:f>
      </x:c>
      <x:c r="B301" s="22"/>
      <x:c r="C301" s="22"/>
      <x:c r="D301" s="22"/>
      <x:c r="E301" s="22"/>
      <x:c r="F301" s="22"/>
      <x:c r="G301" s="22"/>
      <x:c r="H301" s="22"/>
      <x:c r="I301" s="22"/>
      <x:c r="J301" s="26"/>
      <x:c r="K301" s="22"/>
      <x:c r="L301" s="26"/>
      <x:c r="M301" s="26"/>
      <x:c r="N301" s="28"/>
      <x:c r="O301" s="26"/>
      <x:c r="P301" s="26"/>
      <x:c r="Q301" s="22"/>
      <x:c r="R301" s="22"/>
      <x:c r="S301" s="22"/>
      <x:c r="T301" s="22"/>
      <x:c r="U301" s="22" t="str">
        <x:f>IF(OR(P301="",K301="Завершён",K301="Закрыт без продукта"),"",P301-TODAY())</x:f>
      </x:c>
    </x:row>
    <x:row r="302">
      <x:c r="A302" s="22" t="str">
        <x:f>IF(C302="","","RTE-"&amp;TEXT(ROW()-2,"0000"))</x:f>
      </x:c>
      <x:c r="B302" s="22"/>
      <x:c r="C302" s="22"/>
      <x:c r="D302" s="22"/>
      <x:c r="E302" s="22"/>
      <x:c r="F302" s="22"/>
      <x:c r="G302" s="22"/>
      <x:c r="H302" s="22"/>
      <x:c r="I302" s="22"/>
      <x:c r="J302" s="26"/>
      <x:c r="K302" s="22"/>
      <x:c r="L302" s="26"/>
      <x:c r="M302" s="26"/>
      <x:c r="N302" s="28"/>
      <x:c r="O302" s="26"/>
      <x:c r="P302" s="26"/>
      <x:c r="Q302" s="22"/>
      <x:c r="R302" s="22"/>
      <x:c r="S302" s="22"/>
      <x:c r="T302" s="22"/>
      <x:c r="U302" s="22" t="str">
        <x:f>IF(OR(P302="",K302="Завершён",K302="Закрыт без продукта"),"",P302-TODAY())</x:f>
      </x:c>
    </x:row>
  </x:sheetData>
  <x:mergeCells>
    <x:mergeCell ref="A1:U1"/>
  </x:mergeCells>
  <x:conditionalFormatting sqref="K3:K302">
    <x:cfRule type="expression" dxfId="3" priority="1">
      <x:formula>K3="Активен"</x:formula>
    </x:cfRule>
    <x:cfRule type="expression" dxfId="4" priority="2">
      <x:formula>K3="Нужна корректировка"</x:formula>
    </x:cfRule>
    <x:cfRule type="expression" dxfId="5" priority="3">
      <x:formula>K3="На паузе"</x:formula>
    </x:cfRule>
    <x:cfRule type="expression" dxfId="6" priority="4">
      <x:formula>K3="Завершён"</x:formula>
    </x:cfRule>
    <x:cfRule type="expression" dxfId="7" priority="5">
      <x:formula>K3="Закрыт без продукта"</x:formula>
    </x:cfRule>
  </x:conditionalFormatting>
  <x:conditionalFormatting sqref="N3:N302">
    <x:cfRule type="dataBar" priority="6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{1384590C-4D02-0494-FED5-52D82550A3A0}</x14:id>
        </x:ext>
      </x:extLst>
    </x:cfRule>
  </x:conditionalFormatting>
  <x:conditionalFormatting sqref="U3:U302">
    <x:cfRule type="cellIs" dxfId="8" priority="7" operator="lessThan">
      <x:formula>0</x:formula>
    </x:cfRule>
  </x:conditionalFormatting>
  <x:dataValidations count="6">
    <x:dataValidation type="list" sqref="E3:E302">
      <x:formula1>'Справочники'!$D$2:$D$6</x:formula1>
    </x:dataValidation>
    <x:dataValidation type="list" sqref="F3:F302">
      <x:formula1>'Справочники'!$E$2:$E$6</x:formula1>
    </x:dataValidation>
    <x:dataValidation type="list" sqref="K3:K302">
      <x:formula1>'Справочники'!$F$2:$F$7</x:formula1>
    </x:dataValidation>
    <x:dataValidation type="list" sqref="R3:R302">
      <x:formula1>'Справочники'!$N$2:$N$3</x:formula1>
    </x:dataValidation>
    <x:dataValidation type="list" sqref="S3:S302">
      <x:formula1>'Справочники'!$N$2:$N$3</x:formula1>
    </x:dataValidation>
    <x:dataValidation type="list" sqref="I3:I302">
      <x:formula1>'Наставники'!$B$3:$B$102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ed7487da60446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1384590C-4D02-0494-FED5-52D82550A3A0}">
            <x14:dataBar gradient="1">
              <x14:cfvo type="min"/>
              <x14:cfvo type="max"/>
              <x14:fillColor rgb="FFA02B93"/>
            </x14:dataBar>
          </x14:cfRule>
          <xm:sqref>N3:N302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30" hidden="0" customWidth="1"/>
    <x:col min="5" max="5" width="34" hidden="0" customWidth="1"/>
    <x:col min="6" max="6" width="34" hidden="0" customWidth="1"/>
    <x:col min="7" max="7" width="30" hidden="0" customWidth="1"/>
    <x:col min="8" max="8" width="14" hidden="0" customWidth="1"/>
    <x:col min="9" max="9" width="14" hidden="0" customWidth="1"/>
    <x:col min="10" max="10" width="16" hidden="0" customWidth="1"/>
    <x:col min="11" max="11" width="28" hidden="0" customWidth="1"/>
    <x:col min="12" max="12" width="13" hidden="0" customWidth="1"/>
  </x:cols>
  <x:sheetData>
    <x:row r="1" ht="30" customHeight="1">
      <x:c r="A1" s="16" t="str">
        <x:v>КОНТРОЛЬНЫЕ ТОЧКИ: факт, решение, следующий шаг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32" customHeight="1">
      <x:c r="A2" s="6" t="str">
        <x:v>ID точки</x:v>
      </x:c>
      <x:c r="B2" s="6" t="str">
        <x:v>ID маршрута</x:v>
      </x:c>
      <x:c r="C2" s="6" t="str">
        <x:v>Дата встречи</x:v>
      </x:c>
      <x:c r="D2" s="6" t="str">
        <x:v>Что планировалось</x:v>
      </x:c>
      <x:c r="E2" s="6" t="str">
        <x:v>Что сделано / показано</x:v>
      </x:c>
      <x:c r="F2" s="6" t="str">
        <x:v>Решение и использованная помощь</x:v>
      </x:c>
      <x:c r="G2" s="6" t="str">
        <x:v>Следующий шаг</x:v>
      </x:c>
      <x:c r="H2" s="6" t="str">
        <x:v>Срок следующего шага</x:v>
      </x:c>
      <x:c r="I2" s="6" t="str">
        <x:v>Нагрузка</x:v>
      </x:c>
      <x:c r="J2" s="6" t="str">
        <x:v>Статус</x:v>
      </x:c>
      <x:c r="K2" s="6" t="str">
        <x:v>Ссылка / примечание</x:v>
      </x:c>
      <x:c r="L2" s="6" t="str">
        <x:v>Дней до/после срока</x:v>
      </x:c>
    </x:row>
    <x:row r="3">
      <x:c r="A3" s="22" t="str">
        <x:f>IF(B3="","","CP-"&amp;TEXT(ROW()-2,"0000"))</x:f>
      </x:c>
      <x:c r="B3" s="22"/>
      <x:c r="C3" s="26"/>
      <x:c r="D3" s="22"/>
      <x:c r="E3" s="22"/>
      <x:c r="F3" s="22"/>
      <x:c r="G3" s="22"/>
      <x:c r="H3" s="26"/>
      <x:c r="I3" s="22"/>
      <x:c r="J3" s="22"/>
      <x:c r="K3" s="22"/>
      <x:c r="L3" s="22" t="str">
        <x:f>IF(OR(H3="",J3="Состоялась",J3="Отменена"),"",H3-TODAY())</x:f>
      </x:c>
    </x:row>
    <x:row r="4">
      <x:c r="A4" s="22" t="str">
        <x:f>IF(B4="","","CP-"&amp;TEXT(ROW()-2,"0000"))</x:f>
      </x:c>
      <x:c r="B4" s="22"/>
      <x:c r="C4" s="26"/>
      <x:c r="D4" s="22"/>
      <x:c r="E4" s="22"/>
      <x:c r="F4" s="22"/>
      <x:c r="G4" s="22"/>
      <x:c r="H4" s="26"/>
      <x:c r="I4" s="22"/>
      <x:c r="J4" s="22"/>
      <x:c r="K4" s="22"/>
      <x:c r="L4" s="22" t="str">
        <x:f>IF(OR(H4="",J4="Состоялась",J4="Отменена"),"",H4-TODAY())</x:f>
      </x:c>
    </x:row>
    <x:row r="5">
      <x:c r="A5" s="22" t="str">
        <x:f>IF(B5="","","CP-"&amp;TEXT(ROW()-2,"0000"))</x:f>
      </x:c>
      <x:c r="B5" s="22"/>
      <x:c r="C5" s="26"/>
      <x:c r="D5" s="22"/>
      <x:c r="E5" s="22"/>
      <x:c r="F5" s="22"/>
      <x:c r="G5" s="22"/>
      <x:c r="H5" s="26"/>
      <x:c r="I5" s="22"/>
      <x:c r="J5" s="22"/>
      <x:c r="K5" s="22"/>
      <x:c r="L5" s="22" t="str">
        <x:f>IF(OR(H5="",J5="Состоялась",J5="Отменена"),"",H5-TODAY())</x:f>
      </x:c>
    </x:row>
    <x:row r="6">
      <x:c r="A6" s="22" t="str">
        <x:f>IF(B6="","","CP-"&amp;TEXT(ROW()-2,"0000"))</x:f>
      </x:c>
      <x:c r="B6" s="22"/>
      <x:c r="C6" s="26"/>
      <x:c r="D6" s="22"/>
      <x:c r="E6" s="22"/>
      <x:c r="F6" s="22"/>
      <x:c r="G6" s="22"/>
      <x:c r="H6" s="26"/>
      <x:c r="I6" s="22"/>
      <x:c r="J6" s="22"/>
      <x:c r="K6" s="22"/>
      <x:c r="L6" s="22" t="str">
        <x:f>IF(OR(H6="",J6="Состоялась",J6="Отменена"),"",H6-TODAY())</x:f>
      </x:c>
    </x:row>
    <x:row r="7">
      <x:c r="A7" s="22" t="str">
        <x:f>IF(B7="","","CP-"&amp;TEXT(ROW()-2,"0000"))</x:f>
      </x:c>
      <x:c r="B7" s="22"/>
      <x:c r="C7" s="26"/>
      <x:c r="D7" s="22"/>
      <x:c r="E7" s="22"/>
      <x:c r="F7" s="22"/>
      <x:c r="G7" s="22"/>
      <x:c r="H7" s="26"/>
      <x:c r="I7" s="22"/>
      <x:c r="J7" s="22"/>
      <x:c r="K7" s="22"/>
      <x:c r="L7" s="22" t="str">
        <x:f>IF(OR(H7="",J7="Состоялась",J7="Отменена"),"",H7-TODAY())</x:f>
      </x:c>
    </x:row>
    <x:row r="8">
      <x:c r="A8" s="22" t="str">
        <x:f>IF(B8="","","CP-"&amp;TEXT(ROW()-2,"0000"))</x:f>
      </x:c>
      <x:c r="B8" s="22"/>
      <x:c r="C8" s="26"/>
      <x:c r="D8" s="22"/>
      <x:c r="E8" s="22"/>
      <x:c r="F8" s="22"/>
      <x:c r="G8" s="22"/>
      <x:c r="H8" s="26"/>
      <x:c r="I8" s="22"/>
      <x:c r="J8" s="22"/>
      <x:c r="K8" s="22"/>
      <x:c r="L8" s="22" t="str">
        <x:f>IF(OR(H8="",J8="Состоялась",J8="Отменена"),"",H8-TODAY())</x:f>
      </x:c>
    </x:row>
    <x:row r="9">
      <x:c r="A9" s="22" t="str">
        <x:f>IF(B9="","","CP-"&amp;TEXT(ROW()-2,"0000"))</x:f>
      </x:c>
      <x:c r="B9" s="22"/>
      <x:c r="C9" s="26"/>
      <x:c r="D9" s="22"/>
      <x:c r="E9" s="22"/>
      <x:c r="F9" s="22"/>
      <x:c r="G9" s="22"/>
      <x:c r="H9" s="26"/>
      <x:c r="I9" s="22"/>
      <x:c r="J9" s="22"/>
      <x:c r="K9" s="22"/>
      <x:c r="L9" s="22" t="str">
        <x:f>IF(OR(H9="",J9="Состоялась",J9="Отменена"),"",H9-TODAY())</x:f>
      </x:c>
    </x:row>
    <x:row r="10">
      <x:c r="A10" s="22" t="str">
        <x:f>IF(B10="","","CP-"&amp;TEXT(ROW()-2,"0000"))</x:f>
      </x:c>
      <x:c r="B10" s="22"/>
      <x:c r="C10" s="26"/>
      <x:c r="D10" s="22"/>
      <x:c r="E10" s="22"/>
      <x:c r="F10" s="22"/>
      <x:c r="G10" s="22"/>
      <x:c r="H10" s="26"/>
      <x:c r="I10" s="22"/>
      <x:c r="J10" s="22"/>
      <x:c r="K10" s="22"/>
      <x:c r="L10" s="22" t="str">
        <x:f>IF(OR(H10="",J10="Состоялась",J10="Отменена"),"",H10-TODAY())</x:f>
      </x:c>
    </x:row>
    <x:row r="11">
      <x:c r="A11" s="22" t="str">
        <x:f>IF(B11="","","CP-"&amp;TEXT(ROW()-2,"0000"))</x:f>
      </x:c>
      <x:c r="B11" s="22"/>
      <x:c r="C11" s="26"/>
      <x:c r="D11" s="22"/>
      <x:c r="E11" s="22"/>
      <x:c r="F11" s="22"/>
      <x:c r="G11" s="22"/>
      <x:c r="H11" s="26"/>
      <x:c r="I11" s="22"/>
      <x:c r="J11" s="22"/>
      <x:c r="K11" s="22"/>
      <x:c r="L11" s="22" t="str">
        <x:f>IF(OR(H11="",J11="Состоялась",J11="Отменена"),"",H11-TODAY())</x:f>
      </x:c>
    </x:row>
    <x:row r="12">
      <x:c r="A12" s="22" t="str">
        <x:f>IF(B12="","","CP-"&amp;TEXT(ROW()-2,"0000"))</x:f>
      </x:c>
      <x:c r="B12" s="22"/>
      <x:c r="C12" s="26"/>
      <x:c r="D12" s="22"/>
      <x:c r="E12" s="22"/>
      <x:c r="F12" s="22"/>
      <x:c r="G12" s="22"/>
      <x:c r="H12" s="26"/>
      <x:c r="I12" s="22"/>
      <x:c r="J12" s="22"/>
      <x:c r="K12" s="22"/>
      <x:c r="L12" s="22" t="str">
        <x:f>IF(OR(H12="",J12="Состоялась",J12="Отменена"),"",H12-TODAY())</x:f>
      </x:c>
    </x:row>
    <x:row r="13">
      <x:c r="A13" s="22" t="str">
        <x:f>IF(B13="","","CP-"&amp;TEXT(ROW()-2,"0000"))</x:f>
      </x:c>
      <x:c r="B13" s="22"/>
      <x:c r="C13" s="26"/>
      <x:c r="D13" s="22"/>
      <x:c r="E13" s="22"/>
      <x:c r="F13" s="22"/>
      <x:c r="G13" s="22"/>
      <x:c r="H13" s="26"/>
      <x:c r="I13" s="22"/>
      <x:c r="J13" s="22"/>
      <x:c r="K13" s="22"/>
      <x:c r="L13" s="22" t="str">
        <x:f>IF(OR(H13="",J13="Состоялась",J13="Отменена"),"",H13-TODAY())</x:f>
      </x:c>
    </x:row>
    <x:row r="14">
      <x:c r="A14" s="22" t="str">
        <x:f>IF(B14="","","CP-"&amp;TEXT(ROW()-2,"0000"))</x:f>
      </x:c>
      <x:c r="B14" s="22"/>
      <x:c r="C14" s="26"/>
      <x:c r="D14" s="22"/>
      <x:c r="E14" s="22"/>
      <x:c r="F14" s="22"/>
      <x:c r="G14" s="22"/>
      <x:c r="H14" s="26"/>
      <x:c r="I14" s="22"/>
      <x:c r="J14" s="22"/>
      <x:c r="K14" s="22"/>
      <x:c r="L14" s="22" t="str">
        <x:f>IF(OR(H14="",J14="Состоялась",J14="Отменена"),"",H14-TODAY())</x:f>
      </x:c>
    </x:row>
    <x:row r="15">
      <x:c r="A15" s="22" t="str">
        <x:f>IF(B15="","","CP-"&amp;TEXT(ROW()-2,"0000"))</x:f>
      </x:c>
      <x:c r="B15" s="22"/>
      <x:c r="C15" s="26"/>
      <x:c r="D15" s="22"/>
      <x:c r="E15" s="22"/>
      <x:c r="F15" s="22"/>
      <x:c r="G15" s="22"/>
      <x:c r="H15" s="26"/>
      <x:c r="I15" s="22"/>
      <x:c r="J15" s="22"/>
      <x:c r="K15" s="22"/>
      <x:c r="L15" s="22" t="str">
        <x:f>IF(OR(H15="",J15="Состоялась",J15="Отменена"),"",H15-TODAY())</x:f>
      </x:c>
    </x:row>
    <x:row r="16">
      <x:c r="A16" s="22" t="str">
        <x:f>IF(B16="","","CP-"&amp;TEXT(ROW()-2,"0000"))</x:f>
      </x:c>
      <x:c r="B16" s="22"/>
      <x:c r="C16" s="26"/>
      <x:c r="D16" s="22"/>
      <x:c r="E16" s="22"/>
      <x:c r="F16" s="22"/>
      <x:c r="G16" s="22"/>
      <x:c r="H16" s="26"/>
      <x:c r="I16" s="22"/>
      <x:c r="J16" s="22"/>
      <x:c r="K16" s="22"/>
      <x:c r="L16" s="22" t="str">
        <x:f>IF(OR(H16="",J16="Состоялась",J16="Отменена"),"",H16-TODAY())</x:f>
      </x:c>
    </x:row>
    <x:row r="17">
      <x:c r="A17" s="22" t="str">
        <x:f>IF(B17="","","CP-"&amp;TEXT(ROW()-2,"0000"))</x:f>
      </x:c>
      <x:c r="B17" s="22"/>
      <x:c r="C17" s="26"/>
      <x:c r="D17" s="22"/>
      <x:c r="E17" s="22"/>
      <x:c r="F17" s="22"/>
      <x:c r="G17" s="22"/>
      <x:c r="H17" s="26"/>
      <x:c r="I17" s="22"/>
      <x:c r="J17" s="22"/>
      <x:c r="K17" s="22"/>
      <x:c r="L17" s="22" t="str">
        <x:f>IF(OR(H17="",J17="Состоялась",J17="Отменена"),"",H17-TODAY())</x:f>
      </x:c>
    </x:row>
    <x:row r="18">
      <x:c r="A18" s="22" t="str">
        <x:f>IF(B18="","","CP-"&amp;TEXT(ROW()-2,"0000"))</x:f>
      </x:c>
      <x:c r="B18" s="22"/>
      <x:c r="C18" s="26"/>
      <x:c r="D18" s="22"/>
      <x:c r="E18" s="22"/>
      <x:c r="F18" s="22"/>
      <x:c r="G18" s="22"/>
      <x:c r="H18" s="26"/>
      <x:c r="I18" s="22"/>
      <x:c r="J18" s="22"/>
      <x:c r="K18" s="22"/>
      <x:c r="L18" s="22" t="str">
        <x:f>IF(OR(H18="",J18="Состоялась",J18="Отменена"),"",H18-TODAY())</x:f>
      </x:c>
    </x:row>
    <x:row r="19">
      <x:c r="A19" s="22" t="str">
        <x:f>IF(B19="","","CP-"&amp;TEXT(ROW()-2,"0000"))</x:f>
      </x:c>
      <x:c r="B19" s="22"/>
      <x:c r="C19" s="26"/>
      <x:c r="D19" s="22"/>
      <x:c r="E19" s="22"/>
      <x:c r="F19" s="22"/>
      <x:c r="G19" s="22"/>
      <x:c r="H19" s="26"/>
      <x:c r="I19" s="22"/>
      <x:c r="J19" s="22"/>
      <x:c r="K19" s="22"/>
      <x:c r="L19" s="22" t="str">
        <x:f>IF(OR(H19="",J19="Состоялась",J19="Отменена"),"",H19-TODAY())</x:f>
      </x:c>
    </x:row>
    <x:row r="20">
      <x:c r="A20" s="22" t="str">
        <x:f>IF(B20="","","CP-"&amp;TEXT(ROW()-2,"0000"))</x:f>
      </x:c>
      <x:c r="B20" s="22"/>
      <x:c r="C20" s="26"/>
      <x:c r="D20" s="22"/>
      <x:c r="E20" s="22"/>
      <x:c r="F20" s="22"/>
      <x:c r="G20" s="22"/>
      <x:c r="H20" s="26"/>
      <x:c r="I20" s="22"/>
      <x:c r="J20" s="22"/>
      <x:c r="K20" s="22"/>
      <x:c r="L20" s="22" t="str">
        <x:f>IF(OR(H20="",J20="Состоялась",J20="Отменена"),"",H20-TODAY())</x:f>
      </x:c>
    </x:row>
    <x:row r="21">
      <x:c r="A21" s="22" t="str">
        <x:f>IF(B21="","","CP-"&amp;TEXT(ROW()-2,"0000"))</x:f>
      </x:c>
      <x:c r="B21" s="22"/>
      <x:c r="C21" s="26"/>
      <x:c r="D21" s="22"/>
      <x:c r="E21" s="22"/>
      <x:c r="F21" s="22"/>
      <x:c r="G21" s="22"/>
      <x:c r="H21" s="26"/>
      <x:c r="I21" s="22"/>
      <x:c r="J21" s="22"/>
      <x:c r="K21" s="22"/>
      <x:c r="L21" s="22" t="str">
        <x:f>IF(OR(H21="",J21="Состоялась",J21="Отменена"),"",H21-TODAY())</x:f>
      </x:c>
    </x:row>
    <x:row r="22">
      <x:c r="A22" s="22" t="str">
        <x:f>IF(B22="","","CP-"&amp;TEXT(ROW()-2,"0000"))</x:f>
      </x:c>
      <x:c r="B22" s="22"/>
      <x:c r="C22" s="26"/>
      <x:c r="D22" s="22"/>
      <x:c r="E22" s="22"/>
      <x:c r="F22" s="22"/>
      <x:c r="G22" s="22"/>
      <x:c r="H22" s="26"/>
      <x:c r="I22" s="22"/>
      <x:c r="J22" s="22"/>
      <x:c r="K22" s="22"/>
      <x:c r="L22" s="22" t="str">
        <x:f>IF(OR(H22="",J22="Состоялась",J22="Отменена"),"",H22-TODAY())</x:f>
      </x:c>
    </x:row>
    <x:row r="23">
      <x:c r="A23" s="22" t="str">
        <x:f>IF(B23="","","CP-"&amp;TEXT(ROW()-2,"0000"))</x:f>
      </x:c>
      <x:c r="B23" s="22"/>
      <x:c r="C23" s="26"/>
      <x:c r="D23" s="22"/>
      <x:c r="E23" s="22"/>
      <x:c r="F23" s="22"/>
      <x:c r="G23" s="22"/>
      <x:c r="H23" s="26"/>
      <x:c r="I23" s="22"/>
      <x:c r="J23" s="22"/>
      <x:c r="K23" s="22"/>
      <x:c r="L23" s="22" t="str">
        <x:f>IF(OR(H23="",J23="Состоялась",J23="Отменена"),"",H23-TODAY())</x:f>
      </x:c>
    </x:row>
    <x:row r="24">
      <x:c r="A24" s="22" t="str">
        <x:f>IF(B24="","","CP-"&amp;TEXT(ROW()-2,"0000"))</x:f>
      </x:c>
      <x:c r="B24" s="22"/>
      <x:c r="C24" s="26"/>
      <x:c r="D24" s="22"/>
      <x:c r="E24" s="22"/>
      <x:c r="F24" s="22"/>
      <x:c r="G24" s="22"/>
      <x:c r="H24" s="26"/>
      <x:c r="I24" s="22"/>
      <x:c r="J24" s="22"/>
      <x:c r="K24" s="22"/>
      <x:c r="L24" s="22" t="str">
        <x:f>IF(OR(H24="",J24="Состоялась",J24="Отменена"),"",H24-TODAY())</x:f>
      </x:c>
    </x:row>
    <x:row r="25">
      <x:c r="A25" s="22" t="str">
        <x:f>IF(B25="","","CP-"&amp;TEXT(ROW()-2,"0000"))</x:f>
      </x:c>
      <x:c r="B25" s="22"/>
      <x:c r="C25" s="26"/>
      <x:c r="D25" s="22"/>
      <x:c r="E25" s="22"/>
      <x:c r="F25" s="22"/>
      <x:c r="G25" s="22"/>
      <x:c r="H25" s="26"/>
      <x:c r="I25" s="22"/>
      <x:c r="J25" s="22"/>
      <x:c r="K25" s="22"/>
      <x:c r="L25" s="22" t="str">
        <x:f>IF(OR(H25="",J25="Состоялась",J25="Отменена"),"",H25-TODAY())</x:f>
      </x:c>
    </x:row>
    <x:row r="26">
      <x:c r="A26" s="22" t="str">
        <x:f>IF(B26="","","CP-"&amp;TEXT(ROW()-2,"0000"))</x:f>
      </x:c>
      <x:c r="B26" s="22"/>
      <x:c r="C26" s="26"/>
      <x:c r="D26" s="22"/>
      <x:c r="E26" s="22"/>
      <x:c r="F26" s="22"/>
      <x:c r="G26" s="22"/>
      <x:c r="H26" s="26"/>
      <x:c r="I26" s="22"/>
      <x:c r="J26" s="22"/>
      <x:c r="K26" s="22"/>
      <x:c r="L26" s="22" t="str">
        <x:f>IF(OR(H26="",J26="Состоялась",J26="Отменена"),"",H26-TODAY())</x:f>
      </x:c>
    </x:row>
    <x:row r="27">
      <x:c r="A27" s="22" t="str">
        <x:f>IF(B27="","","CP-"&amp;TEXT(ROW()-2,"0000"))</x:f>
      </x:c>
      <x:c r="B27" s="22"/>
      <x:c r="C27" s="26"/>
      <x:c r="D27" s="22"/>
      <x:c r="E27" s="22"/>
      <x:c r="F27" s="22"/>
      <x:c r="G27" s="22"/>
      <x:c r="H27" s="26"/>
      <x:c r="I27" s="22"/>
      <x:c r="J27" s="22"/>
      <x:c r="K27" s="22"/>
      <x:c r="L27" s="22" t="str">
        <x:f>IF(OR(H27="",J27="Состоялась",J27="Отменена"),"",H27-TODAY())</x:f>
      </x:c>
    </x:row>
    <x:row r="28">
      <x:c r="A28" s="22" t="str">
        <x:f>IF(B28="","","CP-"&amp;TEXT(ROW()-2,"0000"))</x:f>
      </x:c>
      <x:c r="B28" s="22"/>
      <x:c r="C28" s="26"/>
      <x:c r="D28" s="22"/>
      <x:c r="E28" s="22"/>
      <x:c r="F28" s="22"/>
      <x:c r="G28" s="22"/>
      <x:c r="H28" s="26"/>
      <x:c r="I28" s="22"/>
      <x:c r="J28" s="22"/>
      <x:c r="K28" s="22"/>
      <x:c r="L28" s="22" t="str">
        <x:f>IF(OR(H28="",J28="Состоялась",J28="Отменена"),"",H28-TODAY())</x:f>
      </x:c>
    </x:row>
    <x:row r="29">
      <x:c r="A29" s="22" t="str">
        <x:f>IF(B29="","","CP-"&amp;TEXT(ROW()-2,"0000"))</x:f>
      </x:c>
      <x:c r="B29" s="22"/>
      <x:c r="C29" s="26"/>
      <x:c r="D29" s="22"/>
      <x:c r="E29" s="22"/>
      <x:c r="F29" s="22"/>
      <x:c r="G29" s="22"/>
      <x:c r="H29" s="26"/>
      <x:c r="I29" s="22"/>
      <x:c r="J29" s="22"/>
      <x:c r="K29" s="22"/>
      <x:c r="L29" s="22" t="str">
        <x:f>IF(OR(H29="",J29="Состоялась",J29="Отменена"),"",H29-TODAY())</x:f>
      </x:c>
    </x:row>
    <x:row r="30">
      <x:c r="A30" s="22" t="str">
        <x:f>IF(B30="","","CP-"&amp;TEXT(ROW()-2,"0000"))</x:f>
      </x:c>
      <x:c r="B30" s="22"/>
      <x:c r="C30" s="26"/>
      <x:c r="D30" s="22"/>
      <x:c r="E30" s="22"/>
      <x:c r="F30" s="22"/>
      <x:c r="G30" s="22"/>
      <x:c r="H30" s="26"/>
      <x:c r="I30" s="22"/>
      <x:c r="J30" s="22"/>
      <x:c r="K30" s="22"/>
      <x:c r="L30" s="22" t="str">
        <x:f>IF(OR(H30="",J30="Состоялась",J30="Отменена"),"",H30-TODAY())</x:f>
      </x:c>
    </x:row>
    <x:row r="31">
      <x:c r="A31" s="22" t="str">
        <x:f>IF(B31="","","CP-"&amp;TEXT(ROW()-2,"0000"))</x:f>
      </x:c>
      <x:c r="B31" s="22"/>
      <x:c r="C31" s="26"/>
      <x:c r="D31" s="22"/>
      <x:c r="E31" s="22"/>
      <x:c r="F31" s="22"/>
      <x:c r="G31" s="22"/>
      <x:c r="H31" s="26"/>
      <x:c r="I31" s="22"/>
      <x:c r="J31" s="22"/>
      <x:c r="K31" s="22"/>
      <x:c r="L31" s="22" t="str">
        <x:f>IF(OR(H31="",J31="Состоялась",J31="Отменена"),"",H31-TODAY())</x:f>
      </x:c>
    </x:row>
    <x:row r="32">
      <x:c r="A32" s="22" t="str">
        <x:f>IF(B32="","","CP-"&amp;TEXT(ROW()-2,"0000"))</x:f>
      </x:c>
      <x:c r="B32" s="22"/>
      <x:c r="C32" s="26"/>
      <x:c r="D32" s="22"/>
      <x:c r="E32" s="22"/>
      <x:c r="F32" s="22"/>
      <x:c r="G32" s="22"/>
      <x:c r="H32" s="26"/>
      <x:c r="I32" s="22"/>
      <x:c r="J32" s="22"/>
      <x:c r="K32" s="22"/>
      <x:c r="L32" s="22" t="str">
        <x:f>IF(OR(H32="",J32="Состоялась",J32="Отменена"),"",H32-TODAY())</x:f>
      </x:c>
    </x:row>
    <x:row r="33">
      <x:c r="A33" s="22" t="str">
        <x:f>IF(B33="","","CP-"&amp;TEXT(ROW()-2,"0000"))</x:f>
      </x:c>
      <x:c r="B33" s="22"/>
      <x:c r="C33" s="26"/>
      <x:c r="D33" s="22"/>
      <x:c r="E33" s="22"/>
      <x:c r="F33" s="22"/>
      <x:c r="G33" s="22"/>
      <x:c r="H33" s="26"/>
      <x:c r="I33" s="22"/>
      <x:c r="J33" s="22"/>
      <x:c r="K33" s="22"/>
      <x:c r="L33" s="22" t="str">
        <x:f>IF(OR(H33="",J33="Состоялась",J33="Отменена"),"",H33-TODAY())</x:f>
      </x:c>
    </x:row>
    <x:row r="34">
      <x:c r="A34" s="22" t="str">
        <x:f>IF(B34="","","CP-"&amp;TEXT(ROW()-2,"0000"))</x:f>
      </x:c>
      <x:c r="B34" s="22"/>
      <x:c r="C34" s="26"/>
      <x:c r="D34" s="22"/>
      <x:c r="E34" s="22"/>
      <x:c r="F34" s="22"/>
      <x:c r="G34" s="22"/>
      <x:c r="H34" s="26"/>
      <x:c r="I34" s="22"/>
      <x:c r="J34" s="22"/>
      <x:c r="K34" s="22"/>
      <x:c r="L34" s="22" t="str">
        <x:f>IF(OR(H34="",J34="Состоялась",J34="Отменена"),"",H34-TODAY())</x:f>
      </x:c>
    </x:row>
    <x:row r="35">
      <x:c r="A35" s="22" t="str">
        <x:f>IF(B35="","","CP-"&amp;TEXT(ROW()-2,"0000"))</x:f>
      </x:c>
      <x:c r="B35" s="22"/>
      <x:c r="C35" s="26"/>
      <x:c r="D35" s="22"/>
      <x:c r="E35" s="22"/>
      <x:c r="F35" s="22"/>
      <x:c r="G35" s="22"/>
      <x:c r="H35" s="26"/>
      <x:c r="I35" s="22"/>
      <x:c r="J35" s="22"/>
      <x:c r="K35" s="22"/>
      <x:c r="L35" s="22" t="str">
        <x:f>IF(OR(H35="",J35="Состоялась",J35="Отменена"),"",H35-TODAY())</x:f>
      </x:c>
    </x:row>
    <x:row r="36">
      <x:c r="A36" s="22" t="str">
        <x:f>IF(B36="","","CP-"&amp;TEXT(ROW()-2,"0000"))</x:f>
      </x:c>
      <x:c r="B36" s="22"/>
      <x:c r="C36" s="26"/>
      <x:c r="D36" s="22"/>
      <x:c r="E36" s="22"/>
      <x:c r="F36" s="22"/>
      <x:c r="G36" s="22"/>
      <x:c r="H36" s="26"/>
      <x:c r="I36" s="22"/>
      <x:c r="J36" s="22"/>
      <x:c r="K36" s="22"/>
      <x:c r="L36" s="22" t="str">
        <x:f>IF(OR(H36="",J36="Состоялась",J36="Отменена"),"",H36-TODAY())</x:f>
      </x:c>
    </x:row>
    <x:row r="37">
      <x:c r="A37" s="22" t="str">
        <x:f>IF(B37="","","CP-"&amp;TEXT(ROW()-2,"0000"))</x:f>
      </x:c>
      <x:c r="B37" s="22"/>
      <x:c r="C37" s="26"/>
      <x:c r="D37" s="22"/>
      <x:c r="E37" s="22"/>
      <x:c r="F37" s="22"/>
      <x:c r="G37" s="22"/>
      <x:c r="H37" s="26"/>
      <x:c r="I37" s="22"/>
      <x:c r="J37" s="22"/>
      <x:c r="K37" s="22"/>
      <x:c r="L37" s="22" t="str">
        <x:f>IF(OR(H37="",J37="Состоялась",J37="Отменена"),"",H37-TODAY())</x:f>
      </x:c>
    </x:row>
    <x:row r="38">
      <x:c r="A38" s="22" t="str">
        <x:f>IF(B38="","","CP-"&amp;TEXT(ROW()-2,"0000"))</x:f>
      </x:c>
      <x:c r="B38" s="22"/>
      <x:c r="C38" s="26"/>
      <x:c r="D38" s="22"/>
      <x:c r="E38" s="22"/>
      <x:c r="F38" s="22"/>
      <x:c r="G38" s="22"/>
      <x:c r="H38" s="26"/>
      <x:c r="I38" s="22"/>
      <x:c r="J38" s="22"/>
      <x:c r="K38" s="22"/>
      <x:c r="L38" s="22" t="str">
        <x:f>IF(OR(H38="",J38="Состоялась",J38="Отменена"),"",H38-TODAY())</x:f>
      </x:c>
    </x:row>
    <x:row r="39">
      <x:c r="A39" s="22" t="str">
        <x:f>IF(B39="","","CP-"&amp;TEXT(ROW()-2,"0000"))</x:f>
      </x:c>
      <x:c r="B39" s="22"/>
      <x:c r="C39" s="26"/>
      <x:c r="D39" s="22"/>
      <x:c r="E39" s="22"/>
      <x:c r="F39" s="22"/>
      <x:c r="G39" s="22"/>
      <x:c r="H39" s="26"/>
      <x:c r="I39" s="22"/>
      <x:c r="J39" s="22"/>
      <x:c r="K39" s="22"/>
      <x:c r="L39" s="22" t="str">
        <x:f>IF(OR(H39="",J39="Состоялась",J39="Отменена"),"",H39-TODAY())</x:f>
      </x:c>
    </x:row>
    <x:row r="40">
      <x:c r="A40" s="22" t="str">
        <x:f>IF(B40="","","CP-"&amp;TEXT(ROW()-2,"0000"))</x:f>
      </x:c>
      <x:c r="B40" s="22"/>
      <x:c r="C40" s="26"/>
      <x:c r="D40" s="22"/>
      <x:c r="E40" s="22"/>
      <x:c r="F40" s="22"/>
      <x:c r="G40" s="22"/>
      <x:c r="H40" s="26"/>
      <x:c r="I40" s="22"/>
      <x:c r="J40" s="22"/>
      <x:c r="K40" s="22"/>
      <x:c r="L40" s="22" t="str">
        <x:f>IF(OR(H40="",J40="Состоялась",J40="Отменена"),"",H40-TODAY())</x:f>
      </x:c>
    </x:row>
    <x:row r="41">
      <x:c r="A41" s="22" t="str">
        <x:f>IF(B41="","","CP-"&amp;TEXT(ROW()-2,"0000"))</x:f>
      </x:c>
      <x:c r="B41" s="22"/>
      <x:c r="C41" s="26"/>
      <x:c r="D41" s="22"/>
      <x:c r="E41" s="22"/>
      <x:c r="F41" s="22"/>
      <x:c r="G41" s="22"/>
      <x:c r="H41" s="26"/>
      <x:c r="I41" s="22"/>
      <x:c r="J41" s="22"/>
      <x:c r="K41" s="22"/>
      <x:c r="L41" s="22" t="str">
        <x:f>IF(OR(H41="",J41="Состоялась",J41="Отменена"),"",H41-TODAY())</x:f>
      </x:c>
    </x:row>
    <x:row r="42">
      <x:c r="A42" s="22" t="str">
        <x:f>IF(B42="","","CP-"&amp;TEXT(ROW()-2,"0000"))</x:f>
      </x:c>
      <x:c r="B42" s="22"/>
      <x:c r="C42" s="26"/>
      <x:c r="D42" s="22"/>
      <x:c r="E42" s="22"/>
      <x:c r="F42" s="22"/>
      <x:c r="G42" s="22"/>
      <x:c r="H42" s="26"/>
      <x:c r="I42" s="22"/>
      <x:c r="J42" s="22"/>
      <x:c r="K42" s="22"/>
      <x:c r="L42" s="22" t="str">
        <x:f>IF(OR(H42="",J42="Состоялась",J42="Отменена"),"",H42-TODAY())</x:f>
      </x:c>
    </x:row>
    <x:row r="43">
      <x:c r="A43" s="22" t="str">
        <x:f>IF(B43="","","CP-"&amp;TEXT(ROW()-2,"0000"))</x:f>
      </x:c>
      <x:c r="B43" s="22"/>
      <x:c r="C43" s="26"/>
      <x:c r="D43" s="22"/>
      <x:c r="E43" s="22"/>
      <x:c r="F43" s="22"/>
      <x:c r="G43" s="22"/>
      <x:c r="H43" s="26"/>
      <x:c r="I43" s="22"/>
      <x:c r="J43" s="22"/>
      <x:c r="K43" s="22"/>
      <x:c r="L43" s="22" t="str">
        <x:f>IF(OR(H43="",J43="Состоялась",J43="Отменена"),"",H43-TODAY())</x:f>
      </x:c>
    </x:row>
    <x:row r="44">
      <x:c r="A44" s="22" t="str">
        <x:f>IF(B44="","","CP-"&amp;TEXT(ROW()-2,"0000"))</x:f>
      </x:c>
      <x:c r="B44" s="22"/>
      <x:c r="C44" s="26"/>
      <x:c r="D44" s="22"/>
      <x:c r="E44" s="22"/>
      <x:c r="F44" s="22"/>
      <x:c r="G44" s="22"/>
      <x:c r="H44" s="26"/>
      <x:c r="I44" s="22"/>
      <x:c r="J44" s="22"/>
      <x:c r="K44" s="22"/>
      <x:c r="L44" s="22" t="str">
        <x:f>IF(OR(H44="",J44="Состоялась",J44="Отменена"),"",H44-TODAY())</x:f>
      </x:c>
    </x:row>
    <x:row r="45">
      <x:c r="A45" s="22" t="str">
        <x:f>IF(B45="","","CP-"&amp;TEXT(ROW()-2,"0000"))</x:f>
      </x:c>
      <x:c r="B45" s="22"/>
      <x:c r="C45" s="26"/>
      <x:c r="D45" s="22"/>
      <x:c r="E45" s="22"/>
      <x:c r="F45" s="22"/>
      <x:c r="G45" s="22"/>
      <x:c r="H45" s="26"/>
      <x:c r="I45" s="22"/>
      <x:c r="J45" s="22"/>
      <x:c r="K45" s="22"/>
      <x:c r="L45" s="22" t="str">
        <x:f>IF(OR(H45="",J45="Состоялась",J45="Отменена"),"",H45-TODAY())</x:f>
      </x:c>
    </x:row>
    <x:row r="46">
      <x:c r="A46" s="22" t="str">
        <x:f>IF(B46="","","CP-"&amp;TEXT(ROW()-2,"0000"))</x:f>
      </x:c>
      <x:c r="B46" s="22"/>
      <x:c r="C46" s="26"/>
      <x:c r="D46" s="22"/>
      <x:c r="E46" s="22"/>
      <x:c r="F46" s="22"/>
      <x:c r="G46" s="22"/>
      <x:c r="H46" s="26"/>
      <x:c r="I46" s="22"/>
      <x:c r="J46" s="22"/>
      <x:c r="K46" s="22"/>
      <x:c r="L46" s="22" t="str">
        <x:f>IF(OR(H46="",J46="Состоялась",J46="Отменена"),"",H46-TODAY())</x:f>
      </x:c>
    </x:row>
    <x:row r="47">
      <x:c r="A47" s="22" t="str">
        <x:f>IF(B47="","","CP-"&amp;TEXT(ROW()-2,"0000"))</x:f>
      </x:c>
      <x:c r="B47" s="22"/>
      <x:c r="C47" s="26"/>
      <x:c r="D47" s="22"/>
      <x:c r="E47" s="22"/>
      <x:c r="F47" s="22"/>
      <x:c r="G47" s="22"/>
      <x:c r="H47" s="26"/>
      <x:c r="I47" s="22"/>
      <x:c r="J47" s="22"/>
      <x:c r="K47" s="22"/>
      <x:c r="L47" s="22" t="str">
        <x:f>IF(OR(H47="",J47="Состоялась",J47="Отменена"),"",H47-TODAY())</x:f>
      </x:c>
    </x:row>
    <x:row r="48">
      <x:c r="A48" s="22" t="str">
        <x:f>IF(B48="","","CP-"&amp;TEXT(ROW()-2,"0000"))</x:f>
      </x:c>
      <x:c r="B48" s="22"/>
      <x:c r="C48" s="26"/>
      <x:c r="D48" s="22"/>
      <x:c r="E48" s="22"/>
      <x:c r="F48" s="22"/>
      <x:c r="G48" s="22"/>
      <x:c r="H48" s="26"/>
      <x:c r="I48" s="22"/>
      <x:c r="J48" s="22"/>
      <x:c r="K48" s="22"/>
      <x:c r="L48" s="22" t="str">
        <x:f>IF(OR(H48="",J48="Состоялась",J48="Отменена"),"",H48-TODAY())</x:f>
      </x:c>
    </x:row>
    <x:row r="49">
      <x:c r="A49" s="22" t="str">
        <x:f>IF(B49="","","CP-"&amp;TEXT(ROW()-2,"0000"))</x:f>
      </x:c>
      <x:c r="B49" s="22"/>
      <x:c r="C49" s="26"/>
      <x:c r="D49" s="22"/>
      <x:c r="E49" s="22"/>
      <x:c r="F49" s="22"/>
      <x:c r="G49" s="22"/>
      <x:c r="H49" s="26"/>
      <x:c r="I49" s="22"/>
      <x:c r="J49" s="22"/>
      <x:c r="K49" s="22"/>
      <x:c r="L49" s="22" t="str">
        <x:f>IF(OR(H49="",J49="Состоялась",J49="Отменена"),"",H49-TODAY())</x:f>
      </x:c>
    </x:row>
    <x:row r="50">
      <x:c r="A50" s="22" t="str">
        <x:f>IF(B50="","","CP-"&amp;TEXT(ROW()-2,"0000"))</x:f>
      </x:c>
      <x:c r="B50" s="22"/>
      <x:c r="C50" s="26"/>
      <x:c r="D50" s="22"/>
      <x:c r="E50" s="22"/>
      <x:c r="F50" s="22"/>
      <x:c r="G50" s="22"/>
      <x:c r="H50" s="26"/>
      <x:c r="I50" s="22"/>
      <x:c r="J50" s="22"/>
      <x:c r="K50" s="22"/>
      <x:c r="L50" s="22" t="str">
        <x:f>IF(OR(H50="",J50="Состоялась",J50="Отменена"),"",H50-TODAY())</x:f>
      </x:c>
    </x:row>
    <x:row r="51">
      <x:c r="A51" s="22" t="str">
        <x:f>IF(B51="","","CP-"&amp;TEXT(ROW()-2,"0000"))</x:f>
      </x:c>
      <x:c r="B51" s="22"/>
      <x:c r="C51" s="26"/>
      <x:c r="D51" s="22"/>
      <x:c r="E51" s="22"/>
      <x:c r="F51" s="22"/>
      <x:c r="G51" s="22"/>
      <x:c r="H51" s="26"/>
      <x:c r="I51" s="22"/>
      <x:c r="J51" s="22"/>
      <x:c r="K51" s="22"/>
      <x:c r="L51" s="22" t="str">
        <x:f>IF(OR(H51="",J51="Состоялась",J51="Отменена"),"",H51-TODAY())</x:f>
      </x:c>
    </x:row>
    <x:row r="52">
      <x:c r="A52" s="22" t="str">
        <x:f>IF(B52="","","CP-"&amp;TEXT(ROW()-2,"0000"))</x:f>
      </x:c>
      <x:c r="B52" s="22"/>
      <x:c r="C52" s="26"/>
      <x:c r="D52" s="22"/>
      <x:c r="E52" s="22"/>
      <x:c r="F52" s="22"/>
      <x:c r="G52" s="22"/>
      <x:c r="H52" s="26"/>
      <x:c r="I52" s="22"/>
      <x:c r="J52" s="22"/>
      <x:c r="K52" s="22"/>
      <x:c r="L52" s="22" t="str">
        <x:f>IF(OR(H52="",J52="Состоялась",J52="Отменена"),"",H52-TODAY())</x:f>
      </x:c>
    </x:row>
    <x:row r="53">
      <x:c r="A53" s="22" t="str">
        <x:f>IF(B53="","","CP-"&amp;TEXT(ROW()-2,"0000"))</x:f>
      </x:c>
      <x:c r="B53" s="22"/>
      <x:c r="C53" s="26"/>
      <x:c r="D53" s="22"/>
      <x:c r="E53" s="22"/>
      <x:c r="F53" s="22"/>
      <x:c r="G53" s="22"/>
      <x:c r="H53" s="26"/>
      <x:c r="I53" s="22"/>
      <x:c r="J53" s="22"/>
      <x:c r="K53" s="22"/>
      <x:c r="L53" s="22" t="str">
        <x:f>IF(OR(H53="",J53="Состоялась",J53="Отменена"),"",H53-TODAY())</x:f>
      </x:c>
    </x:row>
    <x:row r="54">
      <x:c r="A54" s="22" t="str">
        <x:f>IF(B54="","","CP-"&amp;TEXT(ROW()-2,"0000"))</x:f>
      </x:c>
      <x:c r="B54" s="22"/>
      <x:c r="C54" s="26"/>
      <x:c r="D54" s="22"/>
      <x:c r="E54" s="22"/>
      <x:c r="F54" s="22"/>
      <x:c r="G54" s="22"/>
      <x:c r="H54" s="26"/>
      <x:c r="I54" s="22"/>
      <x:c r="J54" s="22"/>
      <x:c r="K54" s="22"/>
      <x:c r="L54" s="22" t="str">
        <x:f>IF(OR(H54="",J54="Состоялась",J54="Отменена"),"",H54-TODAY())</x:f>
      </x:c>
    </x:row>
    <x:row r="55">
      <x:c r="A55" s="22" t="str">
        <x:f>IF(B55="","","CP-"&amp;TEXT(ROW()-2,"0000"))</x:f>
      </x:c>
      <x:c r="B55" s="22"/>
      <x:c r="C55" s="26"/>
      <x:c r="D55" s="22"/>
      <x:c r="E55" s="22"/>
      <x:c r="F55" s="22"/>
      <x:c r="G55" s="22"/>
      <x:c r="H55" s="26"/>
      <x:c r="I55" s="22"/>
      <x:c r="J55" s="22"/>
      <x:c r="K55" s="22"/>
      <x:c r="L55" s="22" t="str">
        <x:f>IF(OR(H55="",J55="Состоялась",J55="Отменена"),"",H55-TODAY())</x:f>
      </x:c>
    </x:row>
    <x:row r="56">
      <x:c r="A56" s="22" t="str">
        <x:f>IF(B56="","","CP-"&amp;TEXT(ROW()-2,"0000"))</x:f>
      </x:c>
      <x:c r="B56" s="22"/>
      <x:c r="C56" s="26"/>
      <x:c r="D56" s="22"/>
      <x:c r="E56" s="22"/>
      <x:c r="F56" s="22"/>
      <x:c r="G56" s="22"/>
      <x:c r="H56" s="26"/>
      <x:c r="I56" s="22"/>
      <x:c r="J56" s="22"/>
      <x:c r="K56" s="22"/>
      <x:c r="L56" s="22" t="str">
        <x:f>IF(OR(H56="",J56="Состоялась",J56="Отменена"),"",H56-TODAY())</x:f>
      </x:c>
    </x:row>
    <x:row r="57">
      <x:c r="A57" s="22" t="str">
        <x:f>IF(B57="","","CP-"&amp;TEXT(ROW()-2,"0000"))</x:f>
      </x:c>
      <x:c r="B57" s="22"/>
      <x:c r="C57" s="26"/>
      <x:c r="D57" s="22"/>
      <x:c r="E57" s="22"/>
      <x:c r="F57" s="22"/>
      <x:c r="G57" s="22"/>
      <x:c r="H57" s="26"/>
      <x:c r="I57" s="22"/>
      <x:c r="J57" s="22"/>
      <x:c r="K57" s="22"/>
      <x:c r="L57" s="22" t="str">
        <x:f>IF(OR(H57="",J57="Состоялась",J57="Отменена"),"",H57-TODAY())</x:f>
      </x:c>
    </x:row>
    <x:row r="58">
      <x:c r="A58" s="22" t="str">
        <x:f>IF(B58="","","CP-"&amp;TEXT(ROW()-2,"0000"))</x:f>
      </x:c>
      <x:c r="B58" s="22"/>
      <x:c r="C58" s="26"/>
      <x:c r="D58" s="22"/>
      <x:c r="E58" s="22"/>
      <x:c r="F58" s="22"/>
      <x:c r="G58" s="22"/>
      <x:c r="H58" s="26"/>
      <x:c r="I58" s="22"/>
      <x:c r="J58" s="22"/>
      <x:c r="K58" s="22"/>
      <x:c r="L58" s="22" t="str">
        <x:f>IF(OR(H58="",J58="Состоялась",J58="Отменена"),"",H58-TODAY())</x:f>
      </x:c>
    </x:row>
    <x:row r="59">
      <x:c r="A59" s="22" t="str">
        <x:f>IF(B59="","","CP-"&amp;TEXT(ROW()-2,"0000"))</x:f>
      </x:c>
      <x:c r="B59" s="22"/>
      <x:c r="C59" s="26"/>
      <x:c r="D59" s="22"/>
      <x:c r="E59" s="22"/>
      <x:c r="F59" s="22"/>
      <x:c r="G59" s="22"/>
      <x:c r="H59" s="26"/>
      <x:c r="I59" s="22"/>
      <x:c r="J59" s="22"/>
      <x:c r="K59" s="22"/>
      <x:c r="L59" s="22" t="str">
        <x:f>IF(OR(H59="",J59="Состоялась",J59="Отменена"),"",H59-TODAY())</x:f>
      </x:c>
    </x:row>
    <x:row r="60">
      <x:c r="A60" s="22" t="str">
        <x:f>IF(B60="","","CP-"&amp;TEXT(ROW()-2,"0000"))</x:f>
      </x:c>
      <x:c r="B60" s="22"/>
      <x:c r="C60" s="26"/>
      <x:c r="D60" s="22"/>
      <x:c r="E60" s="22"/>
      <x:c r="F60" s="22"/>
      <x:c r="G60" s="22"/>
      <x:c r="H60" s="26"/>
      <x:c r="I60" s="22"/>
      <x:c r="J60" s="22"/>
      <x:c r="K60" s="22"/>
      <x:c r="L60" s="22" t="str">
        <x:f>IF(OR(H60="",J60="Состоялась",J60="Отменена"),"",H60-TODAY())</x:f>
      </x:c>
    </x:row>
    <x:row r="61">
      <x:c r="A61" s="22" t="str">
        <x:f>IF(B61="","","CP-"&amp;TEXT(ROW()-2,"0000"))</x:f>
      </x:c>
      <x:c r="B61" s="22"/>
      <x:c r="C61" s="26"/>
      <x:c r="D61" s="22"/>
      <x:c r="E61" s="22"/>
      <x:c r="F61" s="22"/>
      <x:c r="G61" s="22"/>
      <x:c r="H61" s="26"/>
      <x:c r="I61" s="22"/>
      <x:c r="J61" s="22"/>
      <x:c r="K61" s="22"/>
      <x:c r="L61" s="22" t="str">
        <x:f>IF(OR(H61="",J61="Состоялась",J61="Отменена"),"",H61-TODAY())</x:f>
      </x:c>
    </x:row>
    <x:row r="62">
      <x:c r="A62" s="22" t="str">
        <x:f>IF(B62="","","CP-"&amp;TEXT(ROW()-2,"0000"))</x:f>
      </x:c>
      <x:c r="B62" s="22"/>
      <x:c r="C62" s="26"/>
      <x:c r="D62" s="22"/>
      <x:c r="E62" s="22"/>
      <x:c r="F62" s="22"/>
      <x:c r="G62" s="22"/>
      <x:c r="H62" s="26"/>
      <x:c r="I62" s="22"/>
      <x:c r="J62" s="22"/>
      <x:c r="K62" s="22"/>
      <x:c r="L62" s="22" t="str">
        <x:f>IF(OR(H62="",J62="Состоялась",J62="Отменена"),"",H62-TODAY())</x:f>
      </x:c>
    </x:row>
    <x:row r="63">
      <x:c r="A63" s="22" t="str">
        <x:f>IF(B63="","","CP-"&amp;TEXT(ROW()-2,"0000"))</x:f>
      </x:c>
      <x:c r="B63" s="22"/>
      <x:c r="C63" s="26"/>
      <x:c r="D63" s="22"/>
      <x:c r="E63" s="22"/>
      <x:c r="F63" s="22"/>
      <x:c r="G63" s="22"/>
      <x:c r="H63" s="26"/>
      <x:c r="I63" s="22"/>
      <x:c r="J63" s="22"/>
      <x:c r="K63" s="22"/>
      <x:c r="L63" s="22" t="str">
        <x:f>IF(OR(H63="",J63="Состоялась",J63="Отменена"),"",H63-TODAY())</x:f>
      </x:c>
    </x:row>
    <x:row r="64">
      <x:c r="A64" s="22" t="str">
        <x:f>IF(B64="","","CP-"&amp;TEXT(ROW()-2,"0000"))</x:f>
      </x:c>
      <x:c r="B64" s="22"/>
      <x:c r="C64" s="26"/>
      <x:c r="D64" s="22"/>
      <x:c r="E64" s="22"/>
      <x:c r="F64" s="22"/>
      <x:c r="G64" s="22"/>
      <x:c r="H64" s="26"/>
      <x:c r="I64" s="22"/>
      <x:c r="J64" s="22"/>
      <x:c r="K64" s="22"/>
      <x:c r="L64" s="22" t="str">
        <x:f>IF(OR(H64="",J64="Состоялась",J64="Отменена"),"",H64-TODAY())</x:f>
      </x:c>
    </x:row>
    <x:row r="65">
      <x:c r="A65" s="22" t="str">
        <x:f>IF(B65="","","CP-"&amp;TEXT(ROW()-2,"0000"))</x:f>
      </x:c>
      <x:c r="B65" s="22"/>
      <x:c r="C65" s="26"/>
      <x:c r="D65" s="22"/>
      <x:c r="E65" s="22"/>
      <x:c r="F65" s="22"/>
      <x:c r="G65" s="22"/>
      <x:c r="H65" s="26"/>
      <x:c r="I65" s="22"/>
      <x:c r="J65" s="22"/>
      <x:c r="K65" s="22"/>
      <x:c r="L65" s="22" t="str">
        <x:f>IF(OR(H65="",J65="Состоялась",J65="Отменена"),"",H65-TODAY())</x:f>
      </x:c>
    </x:row>
    <x:row r="66">
      <x:c r="A66" s="22" t="str">
        <x:f>IF(B66="","","CP-"&amp;TEXT(ROW()-2,"0000"))</x:f>
      </x:c>
      <x:c r="B66" s="22"/>
      <x:c r="C66" s="26"/>
      <x:c r="D66" s="22"/>
      <x:c r="E66" s="22"/>
      <x:c r="F66" s="22"/>
      <x:c r="G66" s="22"/>
      <x:c r="H66" s="26"/>
      <x:c r="I66" s="22"/>
      <x:c r="J66" s="22"/>
      <x:c r="K66" s="22"/>
      <x:c r="L66" s="22" t="str">
        <x:f>IF(OR(H66="",J66="Состоялась",J66="Отменена"),"",H66-TODAY())</x:f>
      </x:c>
    </x:row>
    <x:row r="67">
      <x:c r="A67" s="22" t="str">
        <x:f>IF(B67="","","CP-"&amp;TEXT(ROW()-2,"0000"))</x:f>
      </x:c>
      <x:c r="B67" s="22"/>
      <x:c r="C67" s="26"/>
      <x:c r="D67" s="22"/>
      <x:c r="E67" s="22"/>
      <x:c r="F67" s="22"/>
      <x:c r="G67" s="22"/>
      <x:c r="H67" s="26"/>
      <x:c r="I67" s="22"/>
      <x:c r="J67" s="22"/>
      <x:c r="K67" s="22"/>
      <x:c r="L67" s="22" t="str">
        <x:f>IF(OR(H67="",J67="Состоялась",J67="Отменена"),"",H67-TODAY())</x:f>
      </x:c>
    </x:row>
    <x:row r="68">
      <x:c r="A68" s="22" t="str">
        <x:f>IF(B68="","","CP-"&amp;TEXT(ROW()-2,"0000"))</x:f>
      </x:c>
      <x:c r="B68" s="22"/>
      <x:c r="C68" s="26"/>
      <x:c r="D68" s="22"/>
      <x:c r="E68" s="22"/>
      <x:c r="F68" s="22"/>
      <x:c r="G68" s="22"/>
      <x:c r="H68" s="26"/>
      <x:c r="I68" s="22"/>
      <x:c r="J68" s="22"/>
      <x:c r="K68" s="22"/>
      <x:c r="L68" s="22" t="str">
        <x:f>IF(OR(H68="",J68="Состоялась",J68="Отменена"),"",H68-TODAY())</x:f>
      </x:c>
    </x:row>
    <x:row r="69">
      <x:c r="A69" s="22" t="str">
        <x:f>IF(B69="","","CP-"&amp;TEXT(ROW()-2,"0000"))</x:f>
      </x:c>
      <x:c r="B69" s="22"/>
      <x:c r="C69" s="26"/>
      <x:c r="D69" s="22"/>
      <x:c r="E69" s="22"/>
      <x:c r="F69" s="22"/>
      <x:c r="G69" s="22"/>
      <x:c r="H69" s="26"/>
      <x:c r="I69" s="22"/>
      <x:c r="J69" s="22"/>
      <x:c r="K69" s="22"/>
      <x:c r="L69" s="22" t="str">
        <x:f>IF(OR(H69="",J69="Состоялась",J69="Отменена"),"",H69-TODAY())</x:f>
      </x:c>
    </x:row>
    <x:row r="70">
      <x:c r="A70" s="22" t="str">
        <x:f>IF(B70="","","CP-"&amp;TEXT(ROW()-2,"0000"))</x:f>
      </x:c>
      <x:c r="B70" s="22"/>
      <x:c r="C70" s="26"/>
      <x:c r="D70" s="22"/>
      <x:c r="E70" s="22"/>
      <x:c r="F70" s="22"/>
      <x:c r="G70" s="22"/>
      <x:c r="H70" s="26"/>
      <x:c r="I70" s="22"/>
      <x:c r="J70" s="22"/>
      <x:c r="K70" s="22"/>
      <x:c r="L70" s="22" t="str">
        <x:f>IF(OR(H70="",J70="Состоялась",J70="Отменена"),"",H70-TODAY())</x:f>
      </x:c>
    </x:row>
    <x:row r="71">
      <x:c r="A71" s="22" t="str">
        <x:f>IF(B71="","","CP-"&amp;TEXT(ROW()-2,"0000"))</x:f>
      </x:c>
      <x:c r="B71" s="22"/>
      <x:c r="C71" s="26"/>
      <x:c r="D71" s="22"/>
      <x:c r="E71" s="22"/>
      <x:c r="F71" s="22"/>
      <x:c r="G71" s="22"/>
      <x:c r="H71" s="26"/>
      <x:c r="I71" s="22"/>
      <x:c r="J71" s="22"/>
      <x:c r="K71" s="22"/>
      <x:c r="L71" s="22" t="str">
        <x:f>IF(OR(H71="",J71="Состоялась",J71="Отменена"),"",H71-TODAY())</x:f>
      </x:c>
    </x:row>
    <x:row r="72">
      <x:c r="A72" s="22" t="str">
        <x:f>IF(B72="","","CP-"&amp;TEXT(ROW()-2,"0000"))</x:f>
      </x:c>
      <x:c r="B72" s="22"/>
      <x:c r="C72" s="26"/>
      <x:c r="D72" s="22"/>
      <x:c r="E72" s="22"/>
      <x:c r="F72" s="22"/>
      <x:c r="G72" s="22"/>
      <x:c r="H72" s="26"/>
      <x:c r="I72" s="22"/>
      <x:c r="J72" s="22"/>
      <x:c r="K72" s="22"/>
      <x:c r="L72" s="22" t="str">
        <x:f>IF(OR(H72="",J72="Состоялась",J72="Отменена"),"",H72-TODAY())</x:f>
      </x:c>
    </x:row>
    <x:row r="73">
      <x:c r="A73" s="22" t="str">
        <x:f>IF(B73="","","CP-"&amp;TEXT(ROW()-2,"0000"))</x:f>
      </x:c>
      <x:c r="B73" s="22"/>
      <x:c r="C73" s="26"/>
      <x:c r="D73" s="22"/>
      <x:c r="E73" s="22"/>
      <x:c r="F73" s="22"/>
      <x:c r="G73" s="22"/>
      <x:c r="H73" s="26"/>
      <x:c r="I73" s="22"/>
      <x:c r="J73" s="22"/>
      <x:c r="K73" s="22"/>
      <x:c r="L73" s="22" t="str">
        <x:f>IF(OR(H73="",J73="Состоялась",J73="Отменена"),"",H73-TODAY())</x:f>
      </x:c>
    </x:row>
    <x:row r="74">
      <x:c r="A74" s="22" t="str">
        <x:f>IF(B74="","","CP-"&amp;TEXT(ROW()-2,"0000"))</x:f>
      </x:c>
      <x:c r="B74" s="22"/>
      <x:c r="C74" s="26"/>
      <x:c r="D74" s="22"/>
      <x:c r="E74" s="22"/>
      <x:c r="F74" s="22"/>
      <x:c r="G74" s="22"/>
      <x:c r="H74" s="26"/>
      <x:c r="I74" s="22"/>
      <x:c r="J74" s="22"/>
      <x:c r="K74" s="22"/>
      <x:c r="L74" s="22" t="str">
        <x:f>IF(OR(H74="",J74="Состоялась",J74="Отменена"),"",H74-TODAY())</x:f>
      </x:c>
    </x:row>
    <x:row r="75">
      <x:c r="A75" s="22" t="str">
        <x:f>IF(B75="","","CP-"&amp;TEXT(ROW()-2,"0000"))</x:f>
      </x:c>
      <x:c r="B75" s="22"/>
      <x:c r="C75" s="26"/>
      <x:c r="D75" s="22"/>
      <x:c r="E75" s="22"/>
      <x:c r="F75" s="22"/>
      <x:c r="G75" s="22"/>
      <x:c r="H75" s="26"/>
      <x:c r="I75" s="22"/>
      <x:c r="J75" s="22"/>
      <x:c r="K75" s="22"/>
      <x:c r="L75" s="22" t="str">
        <x:f>IF(OR(H75="",J75="Состоялась",J75="Отменена"),"",H75-TODAY())</x:f>
      </x:c>
    </x:row>
    <x:row r="76">
      <x:c r="A76" s="22" t="str">
        <x:f>IF(B76="","","CP-"&amp;TEXT(ROW()-2,"0000"))</x:f>
      </x:c>
      <x:c r="B76" s="22"/>
      <x:c r="C76" s="26"/>
      <x:c r="D76" s="22"/>
      <x:c r="E76" s="22"/>
      <x:c r="F76" s="22"/>
      <x:c r="G76" s="22"/>
      <x:c r="H76" s="26"/>
      <x:c r="I76" s="22"/>
      <x:c r="J76" s="22"/>
      <x:c r="K76" s="22"/>
      <x:c r="L76" s="22" t="str">
        <x:f>IF(OR(H76="",J76="Состоялась",J76="Отменена"),"",H76-TODAY())</x:f>
      </x:c>
    </x:row>
    <x:row r="77">
      <x:c r="A77" s="22" t="str">
        <x:f>IF(B77="","","CP-"&amp;TEXT(ROW()-2,"0000"))</x:f>
      </x:c>
      <x:c r="B77" s="22"/>
      <x:c r="C77" s="26"/>
      <x:c r="D77" s="22"/>
      <x:c r="E77" s="22"/>
      <x:c r="F77" s="22"/>
      <x:c r="G77" s="22"/>
      <x:c r="H77" s="26"/>
      <x:c r="I77" s="22"/>
      <x:c r="J77" s="22"/>
      <x:c r="K77" s="22"/>
      <x:c r="L77" s="22" t="str">
        <x:f>IF(OR(H77="",J77="Состоялась",J77="Отменена"),"",H77-TODAY())</x:f>
      </x:c>
    </x:row>
    <x:row r="78">
      <x:c r="A78" s="22" t="str">
        <x:f>IF(B78="","","CP-"&amp;TEXT(ROW()-2,"0000"))</x:f>
      </x:c>
      <x:c r="B78" s="22"/>
      <x:c r="C78" s="26"/>
      <x:c r="D78" s="22"/>
      <x:c r="E78" s="22"/>
      <x:c r="F78" s="22"/>
      <x:c r="G78" s="22"/>
      <x:c r="H78" s="26"/>
      <x:c r="I78" s="22"/>
      <x:c r="J78" s="22"/>
      <x:c r="K78" s="22"/>
      <x:c r="L78" s="22" t="str">
        <x:f>IF(OR(H78="",J78="Состоялась",J78="Отменена"),"",H78-TODAY())</x:f>
      </x:c>
    </x:row>
    <x:row r="79">
      <x:c r="A79" s="22" t="str">
        <x:f>IF(B79="","","CP-"&amp;TEXT(ROW()-2,"0000"))</x:f>
      </x:c>
      <x:c r="B79" s="22"/>
      <x:c r="C79" s="26"/>
      <x:c r="D79" s="22"/>
      <x:c r="E79" s="22"/>
      <x:c r="F79" s="22"/>
      <x:c r="G79" s="22"/>
      <x:c r="H79" s="26"/>
      <x:c r="I79" s="22"/>
      <x:c r="J79" s="22"/>
      <x:c r="K79" s="22"/>
      <x:c r="L79" s="22" t="str">
        <x:f>IF(OR(H79="",J79="Состоялась",J79="Отменена"),"",H79-TODAY())</x:f>
      </x:c>
    </x:row>
    <x:row r="80">
      <x:c r="A80" s="22" t="str">
        <x:f>IF(B80="","","CP-"&amp;TEXT(ROW()-2,"0000"))</x:f>
      </x:c>
      <x:c r="B80" s="22"/>
      <x:c r="C80" s="26"/>
      <x:c r="D80" s="22"/>
      <x:c r="E80" s="22"/>
      <x:c r="F80" s="22"/>
      <x:c r="G80" s="22"/>
      <x:c r="H80" s="26"/>
      <x:c r="I80" s="22"/>
      <x:c r="J80" s="22"/>
      <x:c r="K80" s="22"/>
      <x:c r="L80" s="22" t="str">
        <x:f>IF(OR(H80="",J80="Состоялась",J80="Отменена"),"",H80-TODAY())</x:f>
      </x:c>
    </x:row>
    <x:row r="81">
      <x:c r="A81" s="22" t="str">
        <x:f>IF(B81="","","CP-"&amp;TEXT(ROW()-2,"0000"))</x:f>
      </x:c>
      <x:c r="B81" s="22"/>
      <x:c r="C81" s="26"/>
      <x:c r="D81" s="22"/>
      <x:c r="E81" s="22"/>
      <x:c r="F81" s="22"/>
      <x:c r="G81" s="22"/>
      <x:c r="H81" s="26"/>
      <x:c r="I81" s="22"/>
      <x:c r="J81" s="22"/>
      <x:c r="K81" s="22"/>
      <x:c r="L81" s="22" t="str">
        <x:f>IF(OR(H81="",J81="Состоялась",J81="Отменена"),"",H81-TODAY())</x:f>
      </x:c>
    </x:row>
    <x:row r="82">
      <x:c r="A82" s="22" t="str">
        <x:f>IF(B82="","","CP-"&amp;TEXT(ROW()-2,"0000"))</x:f>
      </x:c>
      <x:c r="B82" s="22"/>
      <x:c r="C82" s="26"/>
      <x:c r="D82" s="22"/>
      <x:c r="E82" s="22"/>
      <x:c r="F82" s="22"/>
      <x:c r="G82" s="22"/>
      <x:c r="H82" s="26"/>
      <x:c r="I82" s="22"/>
      <x:c r="J82" s="22"/>
      <x:c r="K82" s="22"/>
      <x:c r="L82" s="22" t="str">
        <x:f>IF(OR(H82="",J82="Состоялась",J82="Отменена"),"",H82-TODAY())</x:f>
      </x:c>
    </x:row>
    <x:row r="83">
      <x:c r="A83" s="22" t="str">
        <x:f>IF(B83="","","CP-"&amp;TEXT(ROW()-2,"0000"))</x:f>
      </x:c>
      <x:c r="B83" s="22"/>
      <x:c r="C83" s="26"/>
      <x:c r="D83" s="22"/>
      <x:c r="E83" s="22"/>
      <x:c r="F83" s="22"/>
      <x:c r="G83" s="22"/>
      <x:c r="H83" s="26"/>
      <x:c r="I83" s="22"/>
      <x:c r="J83" s="22"/>
      <x:c r="K83" s="22"/>
      <x:c r="L83" s="22" t="str">
        <x:f>IF(OR(H83="",J83="Состоялась",J83="Отменена"),"",H83-TODAY())</x:f>
      </x:c>
    </x:row>
    <x:row r="84">
      <x:c r="A84" s="22" t="str">
        <x:f>IF(B84="","","CP-"&amp;TEXT(ROW()-2,"0000"))</x:f>
      </x:c>
      <x:c r="B84" s="22"/>
      <x:c r="C84" s="26"/>
      <x:c r="D84" s="22"/>
      <x:c r="E84" s="22"/>
      <x:c r="F84" s="22"/>
      <x:c r="G84" s="22"/>
      <x:c r="H84" s="26"/>
      <x:c r="I84" s="22"/>
      <x:c r="J84" s="22"/>
      <x:c r="K84" s="22"/>
      <x:c r="L84" s="22" t="str">
        <x:f>IF(OR(H84="",J84="Состоялась",J84="Отменена"),"",H84-TODAY())</x:f>
      </x:c>
    </x:row>
    <x:row r="85">
      <x:c r="A85" s="22" t="str">
        <x:f>IF(B85="","","CP-"&amp;TEXT(ROW()-2,"0000"))</x:f>
      </x:c>
      <x:c r="B85" s="22"/>
      <x:c r="C85" s="26"/>
      <x:c r="D85" s="22"/>
      <x:c r="E85" s="22"/>
      <x:c r="F85" s="22"/>
      <x:c r="G85" s="22"/>
      <x:c r="H85" s="26"/>
      <x:c r="I85" s="22"/>
      <x:c r="J85" s="22"/>
      <x:c r="K85" s="22"/>
      <x:c r="L85" s="22" t="str">
        <x:f>IF(OR(H85="",J85="Состоялась",J85="Отменена"),"",H85-TODAY())</x:f>
      </x:c>
    </x:row>
    <x:row r="86">
      <x:c r="A86" s="22" t="str">
        <x:f>IF(B86="","","CP-"&amp;TEXT(ROW()-2,"0000"))</x:f>
      </x:c>
      <x:c r="B86" s="22"/>
      <x:c r="C86" s="26"/>
      <x:c r="D86" s="22"/>
      <x:c r="E86" s="22"/>
      <x:c r="F86" s="22"/>
      <x:c r="G86" s="22"/>
      <x:c r="H86" s="26"/>
      <x:c r="I86" s="22"/>
      <x:c r="J86" s="22"/>
      <x:c r="K86" s="22"/>
      <x:c r="L86" s="22" t="str">
        <x:f>IF(OR(H86="",J86="Состоялась",J86="Отменена"),"",H86-TODAY())</x:f>
      </x:c>
    </x:row>
    <x:row r="87">
      <x:c r="A87" s="22" t="str">
        <x:f>IF(B87="","","CP-"&amp;TEXT(ROW()-2,"0000"))</x:f>
      </x:c>
      <x:c r="B87" s="22"/>
      <x:c r="C87" s="26"/>
      <x:c r="D87" s="22"/>
      <x:c r="E87" s="22"/>
      <x:c r="F87" s="22"/>
      <x:c r="G87" s="22"/>
      <x:c r="H87" s="26"/>
      <x:c r="I87" s="22"/>
      <x:c r="J87" s="22"/>
      <x:c r="K87" s="22"/>
      <x:c r="L87" s="22" t="str">
        <x:f>IF(OR(H87="",J87="Состоялась",J87="Отменена"),"",H87-TODAY())</x:f>
      </x:c>
    </x:row>
    <x:row r="88">
      <x:c r="A88" s="22" t="str">
        <x:f>IF(B88="","","CP-"&amp;TEXT(ROW()-2,"0000"))</x:f>
      </x:c>
      <x:c r="B88" s="22"/>
      <x:c r="C88" s="26"/>
      <x:c r="D88" s="22"/>
      <x:c r="E88" s="22"/>
      <x:c r="F88" s="22"/>
      <x:c r="G88" s="22"/>
      <x:c r="H88" s="26"/>
      <x:c r="I88" s="22"/>
      <x:c r="J88" s="22"/>
      <x:c r="K88" s="22"/>
      <x:c r="L88" s="22" t="str">
        <x:f>IF(OR(H88="",J88="Состоялась",J88="Отменена"),"",H88-TODAY())</x:f>
      </x:c>
    </x:row>
    <x:row r="89">
      <x:c r="A89" s="22" t="str">
        <x:f>IF(B89="","","CP-"&amp;TEXT(ROW()-2,"0000"))</x:f>
      </x:c>
      <x:c r="B89" s="22"/>
      <x:c r="C89" s="26"/>
      <x:c r="D89" s="22"/>
      <x:c r="E89" s="22"/>
      <x:c r="F89" s="22"/>
      <x:c r="G89" s="22"/>
      <x:c r="H89" s="26"/>
      <x:c r="I89" s="22"/>
      <x:c r="J89" s="22"/>
      <x:c r="K89" s="22"/>
      <x:c r="L89" s="22" t="str">
        <x:f>IF(OR(H89="",J89="Состоялась",J89="Отменена"),"",H89-TODAY())</x:f>
      </x:c>
    </x:row>
    <x:row r="90">
      <x:c r="A90" s="22" t="str">
        <x:f>IF(B90="","","CP-"&amp;TEXT(ROW()-2,"0000"))</x:f>
      </x:c>
      <x:c r="B90" s="22"/>
      <x:c r="C90" s="26"/>
      <x:c r="D90" s="22"/>
      <x:c r="E90" s="22"/>
      <x:c r="F90" s="22"/>
      <x:c r="G90" s="22"/>
      <x:c r="H90" s="26"/>
      <x:c r="I90" s="22"/>
      <x:c r="J90" s="22"/>
      <x:c r="K90" s="22"/>
      <x:c r="L90" s="22" t="str">
        <x:f>IF(OR(H90="",J90="Состоялась",J90="Отменена"),"",H90-TODAY())</x:f>
      </x:c>
    </x:row>
    <x:row r="91">
      <x:c r="A91" s="22" t="str">
        <x:f>IF(B91="","","CP-"&amp;TEXT(ROW()-2,"0000"))</x:f>
      </x:c>
      <x:c r="B91" s="22"/>
      <x:c r="C91" s="26"/>
      <x:c r="D91" s="22"/>
      <x:c r="E91" s="22"/>
      <x:c r="F91" s="22"/>
      <x:c r="G91" s="22"/>
      <x:c r="H91" s="26"/>
      <x:c r="I91" s="22"/>
      <x:c r="J91" s="22"/>
      <x:c r="K91" s="22"/>
      <x:c r="L91" s="22" t="str">
        <x:f>IF(OR(H91="",J91="Состоялась",J91="Отменена"),"",H91-TODAY())</x:f>
      </x:c>
    </x:row>
    <x:row r="92">
      <x:c r="A92" s="22" t="str">
        <x:f>IF(B92="","","CP-"&amp;TEXT(ROW()-2,"0000"))</x:f>
      </x:c>
      <x:c r="B92" s="22"/>
      <x:c r="C92" s="26"/>
      <x:c r="D92" s="22"/>
      <x:c r="E92" s="22"/>
      <x:c r="F92" s="22"/>
      <x:c r="G92" s="22"/>
      <x:c r="H92" s="26"/>
      <x:c r="I92" s="22"/>
      <x:c r="J92" s="22"/>
      <x:c r="K92" s="22"/>
      <x:c r="L92" s="22" t="str">
        <x:f>IF(OR(H92="",J92="Состоялась",J92="Отменена"),"",H92-TODAY())</x:f>
      </x:c>
    </x:row>
    <x:row r="93">
      <x:c r="A93" s="22" t="str">
        <x:f>IF(B93="","","CP-"&amp;TEXT(ROW()-2,"0000"))</x:f>
      </x:c>
      <x:c r="B93" s="22"/>
      <x:c r="C93" s="26"/>
      <x:c r="D93" s="22"/>
      <x:c r="E93" s="22"/>
      <x:c r="F93" s="22"/>
      <x:c r="G93" s="22"/>
      <x:c r="H93" s="26"/>
      <x:c r="I93" s="22"/>
      <x:c r="J93" s="22"/>
      <x:c r="K93" s="22"/>
      <x:c r="L93" s="22" t="str">
        <x:f>IF(OR(H93="",J93="Состоялась",J93="Отменена"),"",H93-TODAY())</x:f>
      </x:c>
    </x:row>
    <x:row r="94">
      <x:c r="A94" s="22" t="str">
        <x:f>IF(B94="","","CP-"&amp;TEXT(ROW()-2,"0000"))</x:f>
      </x:c>
      <x:c r="B94" s="22"/>
      <x:c r="C94" s="26"/>
      <x:c r="D94" s="22"/>
      <x:c r="E94" s="22"/>
      <x:c r="F94" s="22"/>
      <x:c r="G94" s="22"/>
      <x:c r="H94" s="26"/>
      <x:c r="I94" s="22"/>
      <x:c r="J94" s="22"/>
      <x:c r="K94" s="22"/>
      <x:c r="L94" s="22" t="str">
        <x:f>IF(OR(H94="",J94="Состоялась",J94="Отменена"),"",H94-TODAY())</x:f>
      </x:c>
    </x:row>
    <x:row r="95">
      <x:c r="A95" s="22" t="str">
        <x:f>IF(B95="","","CP-"&amp;TEXT(ROW()-2,"0000"))</x:f>
      </x:c>
      <x:c r="B95" s="22"/>
      <x:c r="C95" s="26"/>
      <x:c r="D95" s="22"/>
      <x:c r="E95" s="22"/>
      <x:c r="F95" s="22"/>
      <x:c r="G95" s="22"/>
      <x:c r="H95" s="26"/>
      <x:c r="I95" s="22"/>
      <x:c r="J95" s="22"/>
      <x:c r="K95" s="22"/>
      <x:c r="L95" s="22" t="str">
        <x:f>IF(OR(H95="",J95="Состоялась",J95="Отменена"),"",H95-TODAY())</x:f>
      </x:c>
    </x:row>
    <x:row r="96">
      <x:c r="A96" s="22" t="str">
        <x:f>IF(B96="","","CP-"&amp;TEXT(ROW()-2,"0000"))</x:f>
      </x:c>
      <x:c r="B96" s="22"/>
      <x:c r="C96" s="26"/>
      <x:c r="D96" s="22"/>
      <x:c r="E96" s="22"/>
      <x:c r="F96" s="22"/>
      <x:c r="G96" s="22"/>
      <x:c r="H96" s="26"/>
      <x:c r="I96" s="22"/>
      <x:c r="J96" s="22"/>
      <x:c r="K96" s="22"/>
      <x:c r="L96" s="22" t="str">
        <x:f>IF(OR(H96="",J96="Состоялась",J96="Отменена"),"",H96-TODAY())</x:f>
      </x:c>
    </x:row>
    <x:row r="97">
      <x:c r="A97" s="22" t="str">
        <x:f>IF(B97="","","CP-"&amp;TEXT(ROW()-2,"0000"))</x:f>
      </x:c>
      <x:c r="B97" s="22"/>
      <x:c r="C97" s="26"/>
      <x:c r="D97" s="22"/>
      <x:c r="E97" s="22"/>
      <x:c r="F97" s="22"/>
      <x:c r="G97" s="22"/>
      <x:c r="H97" s="26"/>
      <x:c r="I97" s="22"/>
      <x:c r="J97" s="22"/>
      <x:c r="K97" s="22"/>
      <x:c r="L97" s="22" t="str">
        <x:f>IF(OR(H97="",J97="Состоялась",J97="Отменена"),"",H97-TODAY())</x:f>
      </x:c>
    </x:row>
    <x:row r="98">
      <x:c r="A98" s="22" t="str">
        <x:f>IF(B98="","","CP-"&amp;TEXT(ROW()-2,"0000"))</x:f>
      </x:c>
      <x:c r="B98" s="22"/>
      <x:c r="C98" s="26"/>
      <x:c r="D98" s="22"/>
      <x:c r="E98" s="22"/>
      <x:c r="F98" s="22"/>
      <x:c r="G98" s="22"/>
      <x:c r="H98" s="26"/>
      <x:c r="I98" s="22"/>
      <x:c r="J98" s="22"/>
      <x:c r="K98" s="22"/>
      <x:c r="L98" s="22" t="str">
        <x:f>IF(OR(H98="",J98="Состоялась",J98="Отменена"),"",H98-TODAY())</x:f>
      </x:c>
    </x:row>
    <x:row r="99">
      <x:c r="A99" s="22" t="str">
        <x:f>IF(B99="","","CP-"&amp;TEXT(ROW()-2,"0000"))</x:f>
      </x:c>
      <x:c r="B99" s="22"/>
      <x:c r="C99" s="26"/>
      <x:c r="D99" s="22"/>
      <x:c r="E99" s="22"/>
      <x:c r="F99" s="22"/>
      <x:c r="G99" s="22"/>
      <x:c r="H99" s="26"/>
      <x:c r="I99" s="22"/>
      <x:c r="J99" s="22"/>
      <x:c r="K99" s="22"/>
      <x:c r="L99" s="22" t="str">
        <x:f>IF(OR(H99="",J99="Состоялась",J99="Отменена"),"",H99-TODAY())</x:f>
      </x:c>
    </x:row>
    <x:row r="100">
      <x:c r="A100" s="22" t="str">
        <x:f>IF(B100="","","CP-"&amp;TEXT(ROW()-2,"0000"))</x:f>
      </x:c>
      <x:c r="B100" s="22"/>
      <x:c r="C100" s="26"/>
      <x:c r="D100" s="22"/>
      <x:c r="E100" s="22"/>
      <x:c r="F100" s="22"/>
      <x:c r="G100" s="22"/>
      <x:c r="H100" s="26"/>
      <x:c r="I100" s="22"/>
      <x:c r="J100" s="22"/>
      <x:c r="K100" s="22"/>
      <x:c r="L100" s="22" t="str">
        <x:f>IF(OR(H100="",J100="Состоялась",J100="Отменена"),"",H100-TODAY())</x:f>
      </x:c>
    </x:row>
    <x:row r="101">
      <x:c r="A101" s="22" t="str">
        <x:f>IF(B101="","","CP-"&amp;TEXT(ROW()-2,"0000"))</x:f>
      </x:c>
      <x:c r="B101" s="22"/>
      <x:c r="C101" s="26"/>
      <x:c r="D101" s="22"/>
      <x:c r="E101" s="22"/>
      <x:c r="F101" s="22"/>
      <x:c r="G101" s="22"/>
      <x:c r="H101" s="26"/>
      <x:c r="I101" s="22"/>
      <x:c r="J101" s="22"/>
      <x:c r="K101" s="22"/>
      <x:c r="L101" s="22" t="str">
        <x:f>IF(OR(H101="",J101="Состоялась",J101="Отменена"),"",H101-TODAY())</x:f>
      </x:c>
    </x:row>
    <x:row r="102">
      <x:c r="A102" s="22" t="str">
        <x:f>IF(B102="","","CP-"&amp;TEXT(ROW()-2,"0000"))</x:f>
      </x:c>
      <x:c r="B102" s="22"/>
      <x:c r="C102" s="26"/>
      <x:c r="D102" s="22"/>
      <x:c r="E102" s="22"/>
      <x:c r="F102" s="22"/>
      <x:c r="G102" s="22"/>
      <x:c r="H102" s="26"/>
      <x:c r="I102" s="22"/>
      <x:c r="J102" s="22"/>
      <x:c r="K102" s="22"/>
      <x:c r="L102" s="22" t="str">
        <x:f>IF(OR(H102="",J102="Состоялась",J102="Отменена"),"",H102-TODAY())</x:f>
      </x:c>
    </x:row>
    <x:row r="103">
      <x:c r="A103" s="22" t="str">
        <x:f>IF(B103="","","CP-"&amp;TEXT(ROW()-2,"0000"))</x:f>
      </x:c>
      <x:c r="B103" s="22"/>
      <x:c r="C103" s="26"/>
      <x:c r="D103" s="22"/>
      <x:c r="E103" s="22"/>
      <x:c r="F103" s="22"/>
      <x:c r="G103" s="22"/>
      <x:c r="H103" s="26"/>
      <x:c r="I103" s="22"/>
      <x:c r="J103" s="22"/>
      <x:c r="K103" s="22"/>
      <x:c r="L103" s="22" t="str">
        <x:f>IF(OR(H103="",J103="Состоялась",J103="Отменена"),"",H103-TODAY())</x:f>
      </x:c>
    </x:row>
    <x:row r="104">
      <x:c r="A104" s="22" t="str">
        <x:f>IF(B104="","","CP-"&amp;TEXT(ROW()-2,"0000"))</x:f>
      </x:c>
      <x:c r="B104" s="22"/>
      <x:c r="C104" s="26"/>
      <x:c r="D104" s="22"/>
      <x:c r="E104" s="22"/>
      <x:c r="F104" s="22"/>
      <x:c r="G104" s="22"/>
      <x:c r="H104" s="26"/>
      <x:c r="I104" s="22"/>
      <x:c r="J104" s="22"/>
      <x:c r="K104" s="22"/>
      <x:c r="L104" s="22" t="str">
        <x:f>IF(OR(H104="",J104="Состоялась",J104="Отменена"),"",H104-TODAY())</x:f>
      </x:c>
    </x:row>
    <x:row r="105">
      <x:c r="A105" s="22" t="str">
        <x:f>IF(B105="","","CP-"&amp;TEXT(ROW()-2,"0000"))</x:f>
      </x:c>
      <x:c r="B105" s="22"/>
      <x:c r="C105" s="26"/>
      <x:c r="D105" s="22"/>
      <x:c r="E105" s="22"/>
      <x:c r="F105" s="22"/>
      <x:c r="G105" s="22"/>
      <x:c r="H105" s="26"/>
      <x:c r="I105" s="22"/>
      <x:c r="J105" s="22"/>
      <x:c r="K105" s="22"/>
      <x:c r="L105" s="22" t="str">
        <x:f>IF(OR(H105="",J105="Состоялась",J105="Отменена"),"",H105-TODAY())</x:f>
      </x:c>
    </x:row>
    <x:row r="106">
      <x:c r="A106" s="22" t="str">
        <x:f>IF(B106="","","CP-"&amp;TEXT(ROW()-2,"0000"))</x:f>
      </x:c>
      <x:c r="B106" s="22"/>
      <x:c r="C106" s="26"/>
      <x:c r="D106" s="22"/>
      <x:c r="E106" s="22"/>
      <x:c r="F106" s="22"/>
      <x:c r="G106" s="22"/>
      <x:c r="H106" s="26"/>
      <x:c r="I106" s="22"/>
      <x:c r="J106" s="22"/>
      <x:c r="K106" s="22"/>
      <x:c r="L106" s="22" t="str">
        <x:f>IF(OR(H106="",J106="Состоялась",J106="Отменена"),"",H106-TODAY())</x:f>
      </x:c>
    </x:row>
    <x:row r="107">
      <x:c r="A107" s="22" t="str">
        <x:f>IF(B107="","","CP-"&amp;TEXT(ROW()-2,"0000"))</x:f>
      </x:c>
      <x:c r="B107" s="22"/>
      <x:c r="C107" s="26"/>
      <x:c r="D107" s="22"/>
      <x:c r="E107" s="22"/>
      <x:c r="F107" s="22"/>
      <x:c r="G107" s="22"/>
      <x:c r="H107" s="26"/>
      <x:c r="I107" s="22"/>
      <x:c r="J107" s="22"/>
      <x:c r="K107" s="22"/>
      <x:c r="L107" s="22" t="str">
        <x:f>IF(OR(H107="",J107="Состоялась",J107="Отменена"),"",H107-TODAY())</x:f>
      </x:c>
    </x:row>
    <x:row r="108">
      <x:c r="A108" s="22" t="str">
        <x:f>IF(B108="","","CP-"&amp;TEXT(ROW()-2,"0000"))</x:f>
      </x:c>
      <x:c r="B108" s="22"/>
      <x:c r="C108" s="26"/>
      <x:c r="D108" s="22"/>
      <x:c r="E108" s="22"/>
      <x:c r="F108" s="22"/>
      <x:c r="G108" s="22"/>
      <x:c r="H108" s="26"/>
      <x:c r="I108" s="22"/>
      <x:c r="J108" s="22"/>
      <x:c r="K108" s="22"/>
      <x:c r="L108" s="22" t="str">
        <x:f>IF(OR(H108="",J108="Состоялась",J108="Отменена"),"",H108-TODAY())</x:f>
      </x:c>
    </x:row>
    <x:row r="109">
      <x:c r="A109" s="22" t="str">
        <x:f>IF(B109="","","CP-"&amp;TEXT(ROW()-2,"0000"))</x:f>
      </x:c>
      <x:c r="B109" s="22"/>
      <x:c r="C109" s="26"/>
      <x:c r="D109" s="22"/>
      <x:c r="E109" s="22"/>
      <x:c r="F109" s="22"/>
      <x:c r="G109" s="22"/>
      <x:c r="H109" s="26"/>
      <x:c r="I109" s="22"/>
      <x:c r="J109" s="22"/>
      <x:c r="K109" s="22"/>
      <x:c r="L109" s="22" t="str">
        <x:f>IF(OR(H109="",J109="Состоялась",J109="Отменена"),"",H109-TODAY())</x:f>
      </x:c>
    </x:row>
    <x:row r="110">
      <x:c r="A110" s="22" t="str">
        <x:f>IF(B110="","","CP-"&amp;TEXT(ROW()-2,"0000"))</x:f>
      </x:c>
      <x:c r="B110" s="22"/>
      <x:c r="C110" s="26"/>
      <x:c r="D110" s="22"/>
      <x:c r="E110" s="22"/>
      <x:c r="F110" s="22"/>
      <x:c r="G110" s="22"/>
      <x:c r="H110" s="26"/>
      <x:c r="I110" s="22"/>
      <x:c r="J110" s="22"/>
      <x:c r="K110" s="22"/>
      <x:c r="L110" s="22" t="str">
        <x:f>IF(OR(H110="",J110="Состоялась",J110="Отменена"),"",H110-TODAY())</x:f>
      </x:c>
    </x:row>
    <x:row r="111">
      <x:c r="A111" s="22" t="str">
        <x:f>IF(B111="","","CP-"&amp;TEXT(ROW()-2,"0000"))</x:f>
      </x:c>
      <x:c r="B111" s="22"/>
      <x:c r="C111" s="26"/>
      <x:c r="D111" s="22"/>
      <x:c r="E111" s="22"/>
      <x:c r="F111" s="22"/>
      <x:c r="G111" s="22"/>
      <x:c r="H111" s="26"/>
      <x:c r="I111" s="22"/>
      <x:c r="J111" s="22"/>
      <x:c r="K111" s="22"/>
      <x:c r="L111" s="22" t="str">
        <x:f>IF(OR(H111="",J111="Состоялась",J111="Отменена"),"",H111-TODAY())</x:f>
      </x:c>
    </x:row>
    <x:row r="112">
      <x:c r="A112" s="22" t="str">
        <x:f>IF(B112="","","CP-"&amp;TEXT(ROW()-2,"0000"))</x:f>
      </x:c>
      <x:c r="B112" s="22"/>
      <x:c r="C112" s="26"/>
      <x:c r="D112" s="22"/>
      <x:c r="E112" s="22"/>
      <x:c r="F112" s="22"/>
      <x:c r="G112" s="22"/>
      <x:c r="H112" s="26"/>
      <x:c r="I112" s="22"/>
      <x:c r="J112" s="22"/>
      <x:c r="K112" s="22"/>
      <x:c r="L112" s="22" t="str">
        <x:f>IF(OR(H112="",J112="Состоялась",J112="Отменена"),"",H112-TODAY())</x:f>
      </x:c>
    </x:row>
    <x:row r="113">
      <x:c r="A113" s="22" t="str">
        <x:f>IF(B113="","","CP-"&amp;TEXT(ROW()-2,"0000"))</x:f>
      </x:c>
      <x:c r="B113" s="22"/>
      <x:c r="C113" s="26"/>
      <x:c r="D113" s="22"/>
      <x:c r="E113" s="22"/>
      <x:c r="F113" s="22"/>
      <x:c r="G113" s="22"/>
      <x:c r="H113" s="26"/>
      <x:c r="I113" s="22"/>
      <x:c r="J113" s="22"/>
      <x:c r="K113" s="22"/>
      <x:c r="L113" s="22" t="str">
        <x:f>IF(OR(H113="",J113="Состоялась",J113="Отменена"),"",H113-TODAY())</x:f>
      </x:c>
    </x:row>
    <x:row r="114">
      <x:c r="A114" s="22" t="str">
        <x:f>IF(B114="","","CP-"&amp;TEXT(ROW()-2,"0000"))</x:f>
      </x:c>
      <x:c r="B114" s="22"/>
      <x:c r="C114" s="26"/>
      <x:c r="D114" s="22"/>
      <x:c r="E114" s="22"/>
      <x:c r="F114" s="22"/>
      <x:c r="G114" s="22"/>
      <x:c r="H114" s="26"/>
      <x:c r="I114" s="22"/>
      <x:c r="J114" s="22"/>
      <x:c r="K114" s="22"/>
      <x:c r="L114" s="22" t="str">
        <x:f>IF(OR(H114="",J114="Состоялась",J114="Отменена"),"",H114-TODAY())</x:f>
      </x:c>
    </x:row>
    <x:row r="115">
      <x:c r="A115" s="22" t="str">
        <x:f>IF(B115="","","CP-"&amp;TEXT(ROW()-2,"0000"))</x:f>
      </x:c>
      <x:c r="B115" s="22"/>
      <x:c r="C115" s="26"/>
      <x:c r="D115" s="22"/>
      <x:c r="E115" s="22"/>
      <x:c r="F115" s="22"/>
      <x:c r="G115" s="22"/>
      <x:c r="H115" s="26"/>
      <x:c r="I115" s="22"/>
      <x:c r="J115" s="22"/>
      <x:c r="K115" s="22"/>
      <x:c r="L115" s="22" t="str">
        <x:f>IF(OR(H115="",J115="Состоялась",J115="Отменена"),"",H115-TODAY())</x:f>
      </x:c>
    </x:row>
    <x:row r="116">
      <x:c r="A116" s="22" t="str">
        <x:f>IF(B116="","","CP-"&amp;TEXT(ROW()-2,"0000"))</x:f>
      </x:c>
      <x:c r="B116" s="22"/>
      <x:c r="C116" s="26"/>
      <x:c r="D116" s="22"/>
      <x:c r="E116" s="22"/>
      <x:c r="F116" s="22"/>
      <x:c r="G116" s="22"/>
      <x:c r="H116" s="26"/>
      <x:c r="I116" s="22"/>
      <x:c r="J116" s="22"/>
      <x:c r="K116" s="22"/>
      <x:c r="L116" s="22" t="str">
        <x:f>IF(OR(H116="",J116="Состоялась",J116="Отменена"),"",H116-TODAY())</x:f>
      </x:c>
    </x:row>
    <x:row r="117">
      <x:c r="A117" s="22" t="str">
        <x:f>IF(B117="","","CP-"&amp;TEXT(ROW()-2,"0000"))</x:f>
      </x:c>
      <x:c r="B117" s="22"/>
      <x:c r="C117" s="26"/>
      <x:c r="D117" s="22"/>
      <x:c r="E117" s="22"/>
      <x:c r="F117" s="22"/>
      <x:c r="G117" s="22"/>
      <x:c r="H117" s="26"/>
      <x:c r="I117" s="22"/>
      <x:c r="J117" s="22"/>
      <x:c r="K117" s="22"/>
      <x:c r="L117" s="22" t="str">
        <x:f>IF(OR(H117="",J117="Состоялась",J117="Отменена"),"",H117-TODAY())</x:f>
      </x:c>
    </x:row>
    <x:row r="118">
      <x:c r="A118" s="22" t="str">
        <x:f>IF(B118="","","CP-"&amp;TEXT(ROW()-2,"0000"))</x:f>
      </x:c>
      <x:c r="B118" s="22"/>
      <x:c r="C118" s="26"/>
      <x:c r="D118" s="22"/>
      <x:c r="E118" s="22"/>
      <x:c r="F118" s="22"/>
      <x:c r="G118" s="22"/>
      <x:c r="H118" s="26"/>
      <x:c r="I118" s="22"/>
      <x:c r="J118" s="22"/>
      <x:c r="K118" s="22"/>
      <x:c r="L118" s="22" t="str">
        <x:f>IF(OR(H118="",J118="Состоялась",J118="Отменена"),"",H118-TODAY())</x:f>
      </x:c>
    </x:row>
    <x:row r="119">
      <x:c r="A119" s="22" t="str">
        <x:f>IF(B119="","","CP-"&amp;TEXT(ROW()-2,"0000"))</x:f>
      </x:c>
      <x:c r="B119" s="22"/>
      <x:c r="C119" s="26"/>
      <x:c r="D119" s="22"/>
      <x:c r="E119" s="22"/>
      <x:c r="F119" s="22"/>
      <x:c r="G119" s="22"/>
      <x:c r="H119" s="26"/>
      <x:c r="I119" s="22"/>
      <x:c r="J119" s="22"/>
      <x:c r="K119" s="22"/>
      <x:c r="L119" s="22" t="str">
        <x:f>IF(OR(H119="",J119="Состоялась",J119="Отменена"),"",H119-TODAY())</x:f>
      </x:c>
    </x:row>
    <x:row r="120">
      <x:c r="A120" s="22" t="str">
        <x:f>IF(B120="","","CP-"&amp;TEXT(ROW()-2,"0000"))</x:f>
      </x:c>
      <x:c r="B120" s="22"/>
      <x:c r="C120" s="26"/>
      <x:c r="D120" s="22"/>
      <x:c r="E120" s="22"/>
      <x:c r="F120" s="22"/>
      <x:c r="G120" s="22"/>
      <x:c r="H120" s="26"/>
      <x:c r="I120" s="22"/>
      <x:c r="J120" s="22"/>
      <x:c r="K120" s="22"/>
      <x:c r="L120" s="22" t="str">
        <x:f>IF(OR(H120="",J120="Состоялась",J120="Отменена"),"",H120-TODAY())</x:f>
      </x:c>
    </x:row>
    <x:row r="121">
      <x:c r="A121" s="22" t="str">
        <x:f>IF(B121="","","CP-"&amp;TEXT(ROW()-2,"0000"))</x:f>
      </x:c>
      <x:c r="B121" s="22"/>
      <x:c r="C121" s="26"/>
      <x:c r="D121" s="22"/>
      <x:c r="E121" s="22"/>
      <x:c r="F121" s="22"/>
      <x:c r="G121" s="22"/>
      <x:c r="H121" s="26"/>
      <x:c r="I121" s="22"/>
      <x:c r="J121" s="22"/>
      <x:c r="K121" s="22"/>
      <x:c r="L121" s="22" t="str">
        <x:f>IF(OR(H121="",J121="Состоялась",J121="Отменена"),"",H121-TODAY())</x:f>
      </x:c>
    </x:row>
    <x:row r="122">
      <x:c r="A122" s="22" t="str">
        <x:f>IF(B122="","","CP-"&amp;TEXT(ROW()-2,"0000"))</x:f>
      </x:c>
      <x:c r="B122" s="22"/>
      <x:c r="C122" s="26"/>
      <x:c r="D122" s="22"/>
      <x:c r="E122" s="22"/>
      <x:c r="F122" s="22"/>
      <x:c r="G122" s="22"/>
      <x:c r="H122" s="26"/>
      <x:c r="I122" s="22"/>
      <x:c r="J122" s="22"/>
      <x:c r="K122" s="22"/>
      <x:c r="L122" s="22" t="str">
        <x:f>IF(OR(H122="",J122="Состоялась",J122="Отменена"),"",H122-TODAY())</x:f>
      </x:c>
    </x:row>
    <x:row r="123">
      <x:c r="A123" s="22" t="str">
        <x:f>IF(B123="","","CP-"&amp;TEXT(ROW()-2,"0000"))</x:f>
      </x:c>
      <x:c r="B123" s="22"/>
      <x:c r="C123" s="26"/>
      <x:c r="D123" s="22"/>
      <x:c r="E123" s="22"/>
      <x:c r="F123" s="22"/>
      <x:c r="G123" s="22"/>
      <x:c r="H123" s="26"/>
      <x:c r="I123" s="22"/>
      <x:c r="J123" s="22"/>
      <x:c r="K123" s="22"/>
      <x:c r="L123" s="22" t="str">
        <x:f>IF(OR(H123="",J123="Состоялась",J123="Отменена"),"",H123-TODAY())</x:f>
      </x:c>
    </x:row>
    <x:row r="124">
      <x:c r="A124" s="22" t="str">
        <x:f>IF(B124="","","CP-"&amp;TEXT(ROW()-2,"0000"))</x:f>
      </x:c>
      <x:c r="B124" s="22"/>
      <x:c r="C124" s="26"/>
      <x:c r="D124" s="22"/>
      <x:c r="E124" s="22"/>
      <x:c r="F124" s="22"/>
      <x:c r="G124" s="22"/>
      <x:c r="H124" s="26"/>
      <x:c r="I124" s="22"/>
      <x:c r="J124" s="22"/>
      <x:c r="K124" s="22"/>
      <x:c r="L124" s="22" t="str">
        <x:f>IF(OR(H124="",J124="Состоялась",J124="Отменена"),"",H124-TODAY())</x:f>
      </x:c>
    </x:row>
    <x:row r="125">
      <x:c r="A125" s="22" t="str">
        <x:f>IF(B125="","","CP-"&amp;TEXT(ROW()-2,"0000"))</x:f>
      </x:c>
      <x:c r="B125" s="22"/>
      <x:c r="C125" s="26"/>
      <x:c r="D125" s="22"/>
      <x:c r="E125" s="22"/>
      <x:c r="F125" s="22"/>
      <x:c r="G125" s="22"/>
      <x:c r="H125" s="26"/>
      <x:c r="I125" s="22"/>
      <x:c r="J125" s="22"/>
      <x:c r="K125" s="22"/>
      <x:c r="L125" s="22" t="str">
        <x:f>IF(OR(H125="",J125="Состоялась",J125="Отменена"),"",H125-TODAY())</x:f>
      </x:c>
    </x:row>
    <x:row r="126">
      <x:c r="A126" s="22" t="str">
        <x:f>IF(B126="","","CP-"&amp;TEXT(ROW()-2,"0000"))</x:f>
      </x:c>
      <x:c r="B126" s="22"/>
      <x:c r="C126" s="26"/>
      <x:c r="D126" s="22"/>
      <x:c r="E126" s="22"/>
      <x:c r="F126" s="22"/>
      <x:c r="G126" s="22"/>
      <x:c r="H126" s="26"/>
      <x:c r="I126" s="22"/>
      <x:c r="J126" s="22"/>
      <x:c r="K126" s="22"/>
      <x:c r="L126" s="22" t="str">
        <x:f>IF(OR(H126="",J126="Состоялась",J126="Отменена"),"",H126-TODAY())</x:f>
      </x:c>
    </x:row>
    <x:row r="127">
      <x:c r="A127" s="22" t="str">
        <x:f>IF(B127="","","CP-"&amp;TEXT(ROW()-2,"0000"))</x:f>
      </x:c>
      <x:c r="B127" s="22"/>
      <x:c r="C127" s="26"/>
      <x:c r="D127" s="22"/>
      <x:c r="E127" s="22"/>
      <x:c r="F127" s="22"/>
      <x:c r="G127" s="22"/>
      <x:c r="H127" s="26"/>
      <x:c r="I127" s="22"/>
      <x:c r="J127" s="22"/>
      <x:c r="K127" s="22"/>
      <x:c r="L127" s="22" t="str">
        <x:f>IF(OR(H127="",J127="Состоялась",J127="Отменена"),"",H127-TODAY())</x:f>
      </x:c>
    </x:row>
    <x:row r="128">
      <x:c r="A128" s="22" t="str">
        <x:f>IF(B128="","","CP-"&amp;TEXT(ROW()-2,"0000"))</x:f>
      </x:c>
      <x:c r="B128" s="22"/>
      <x:c r="C128" s="26"/>
      <x:c r="D128" s="22"/>
      <x:c r="E128" s="22"/>
      <x:c r="F128" s="22"/>
      <x:c r="G128" s="22"/>
      <x:c r="H128" s="26"/>
      <x:c r="I128" s="22"/>
      <x:c r="J128" s="22"/>
      <x:c r="K128" s="22"/>
      <x:c r="L128" s="22" t="str">
        <x:f>IF(OR(H128="",J128="Состоялась",J128="Отменена"),"",H128-TODAY())</x:f>
      </x:c>
    </x:row>
    <x:row r="129">
      <x:c r="A129" s="22" t="str">
        <x:f>IF(B129="","","CP-"&amp;TEXT(ROW()-2,"0000"))</x:f>
      </x:c>
      <x:c r="B129" s="22"/>
      <x:c r="C129" s="26"/>
      <x:c r="D129" s="22"/>
      <x:c r="E129" s="22"/>
      <x:c r="F129" s="22"/>
      <x:c r="G129" s="22"/>
      <x:c r="H129" s="26"/>
      <x:c r="I129" s="22"/>
      <x:c r="J129" s="22"/>
      <x:c r="K129" s="22"/>
      <x:c r="L129" s="22" t="str">
        <x:f>IF(OR(H129="",J129="Состоялась",J129="Отменена"),"",H129-TODAY())</x:f>
      </x:c>
    </x:row>
    <x:row r="130">
      <x:c r="A130" s="22" t="str">
        <x:f>IF(B130="","","CP-"&amp;TEXT(ROW()-2,"0000"))</x:f>
      </x:c>
      <x:c r="B130" s="22"/>
      <x:c r="C130" s="26"/>
      <x:c r="D130" s="22"/>
      <x:c r="E130" s="22"/>
      <x:c r="F130" s="22"/>
      <x:c r="G130" s="22"/>
      <x:c r="H130" s="26"/>
      <x:c r="I130" s="22"/>
      <x:c r="J130" s="22"/>
      <x:c r="K130" s="22"/>
      <x:c r="L130" s="22" t="str">
        <x:f>IF(OR(H130="",J130="Состоялась",J130="Отменена"),"",H130-TODAY())</x:f>
      </x:c>
    </x:row>
    <x:row r="131">
      <x:c r="A131" s="22" t="str">
        <x:f>IF(B131="","","CP-"&amp;TEXT(ROW()-2,"0000"))</x:f>
      </x:c>
      <x:c r="B131" s="22"/>
      <x:c r="C131" s="26"/>
      <x:c r="D131" s="22"/>
      <x:c r="E131" s="22"/>
      <x:c r="F131" s="22"/>
      <x:c r="G131" s="22"/>
      <x:c r="H131" s="26"/>
      <x:c r="I131" s="22"/>
      <x:c r="J131" s="22"/>
      <x:c r="K131" s="22"/>
      <x:c r="L131" s="22" t="str">
        <x:f>IF(OR(H131="",J131="Состоялась",J131="Отменена"),"",H131-TODAY())</x:f>
      </x:c>
    </x:row>
    <x:row r="132">
      <x:c r="A132" s="22" t="str">
        <x:f>IF(B132="","","CP-"&amp;TEXT(ROW()-2,"0000"))</x:f>
      </x:c>
      <x:c r="B132" s="22"/>
      <x:c r="C132" s="26"/>
      <x:c r="D132" s="22"/>
      <x:c r="E132" s="22"/>
      <x:c r="F132" s="22"/>
      <x:c r="G132" s="22"/>
      <x:c r="H132" s="26"/>
      <x:c r="I132" s="22"/>
      <x:c r="J132" s="22"/>
      <x:c r="K132" s="22"/>
      <x:c r="L132" s="22" t="str">
        <x:f>IF(OR(H132="",J132="Состоялась",J132="Отменена"),"",H132-TODAY())</x:f>
      </x:c>
    </x:row>
    <x:row r="133">
      <x:c r="A133" s="22" t="str">
        <x:f>IF(B133="","","CP-"&amp;TEXT(ROW()-2,"0000"))</x:f>
      </x:c>
      <x:c r="B133" s="22"/>
      <x:c r="C133" s="26"/>
      <x:c r="D133" s="22"/>
      <x:c r="E133" s="22"/>
      <x:c r="F133" s="22"/>
      <x:c r="G133" s="22"/>
      <x:c r="H133" s="26"/>
      <x:c r="I133" s="22"/>
      <x:c r="J133" s="22"/>
      <x:c r="K133" s="22"/>
      <x:c r="L133" s="22" t="str">
        <x:f>IF(OR(H133="",J133="Состоялась",J133="Отменена"),"",H133-TODAY())</x:f>
      </x:c>
    </x:row>
    <x:row r="134">
      <x:c r="A134" s="22" t="str">
        <x:f>IF(B134="","","CP-"&amp;TEXT(ROW()-2,"0000"))</x:f>
      </x:c>
      <x:c r="B134" s="22"/>
      <x:c r="C134" s="26"/>
      <x:c r="D134" s="22"/>
      <x:c r="E134" s="22"/>
      <x:c r="F134" s="22"/>
      <x:c r="G134" s="22"/>
      <x:c r="H134" s="26"/>
      <x:c r="I134" s="22"/>
      <x:c r="J134" s="22"/>
      <x:c r="K134" s="22"/>
      <x:c r="L134" s="22" t="str">
        <x:f>IF(OR(H134="",J134="Состоялась",J134="Отменена"),"",H134-TODAY())</x:f>
      </x:c>
    </x:row>
    <x:row r="135">
      <x:c r="A135" s="22" t="str">
        <x:f>IF(B135="","","CP-"&amp;TEXT(ROW()-2,"0000"))</x:f>
      </x:c>
      <x:c r="B135" s="22"/>
      <x:c r="C135" s="26"/>
      <x:c r="D135" s="22"/>
      <x:c r="E135" s="22"/>
      <x:c r="F135" s="22"/>
      <x:c r="G135" s="22"/>
      <x:c r="H135" s="26"/>
      <x:c r="I135" s="22"/>
      <x:c r="J135" s="22"/>
      <x:c r="K135" s="22"/>
      <x:c r="L135" s="22" t="str">
        <x:f>IF(OR(H135="",J135="Состоялась",J135="Отменена"),"",H135-TODAY())</x:f>
      </x:c>
    </x:row>
    <x:row r="136">
      <x:c r="A136" s="22" t="str">
        <x:f>IF(B136="","","CP-"&amp;TEXT(ROW()-2,"0000"))</x:f>
      </x:c>
      <x:c r="B136" s="22"/>
      <x:c r="C136" s="26"/>
      <x:c r="D136" s="22"/>
      <x:c r="E136" s="22"/>
      <x:c r="F136" s="22"/>
      <x:c r="G136" s="22"/>
      <x:c r="H136" s="26"/>
      <x:c r="I136" s="22"/>
      <x:c r="J136" s="22"/>
      <x:c r="K136" s="22"/>
      <x:c r="L136" s="22" t="str">
        <x:f>IF(OR(H136="",J136="Состоялась",J136="Отменена"),"",H136-TODAY())</x:f>
      </x:c>
    </x:row>
    <x:row r="137">
      <x:c r="A137" s="22" t="str">
        <x:f>IF(B137="","","CP-"&amp;TEXT(ROW()-2,"0000"))</x:f>
      </x:c>
      <x:c r="B137" s="22"/>
      <x:c r="C137" s="26"/>
      <x:c r="D137" s="22"/>
      <x:c r="E137" s="22"/>
      <x:c r="F137" s="22"/>
      <x:c r="G137" s="22"/>
      <x:c r="H137" s="26"/>
      <x:c r="I137" s="22"/>
      <x:c r="J137" s="22"/>
      <x:c r="K137" s="22"/>
      <x:c r="L137" s="22" t="str">
        <x:f>IF(OR(H137="",J137="Состоялась",J137="Отменена"),"",H137-TODAY())</x:f>
      </x:c>
    </x:row>
    <x:row r="138">
      <x:c r="A138" s="22" t="str">
        <x:f>IF(B138="","","CP-"&amp;TEXT(ROW()-2,"0000"))</x:f>
      </x:c>
      <x:c r="B138" s="22"/>
      <x:c r="C138" s="26"/>
      <x:c r="D138" s="22"/>
      <x:c r="E138" s="22"/>
      <x:c r="F138" s="22"/>
      <x:c r="G138" s="22"/>
      <x:c r="H138" s="26"/>
      <x:c r="I138" s="22"/>
      <x:c r="J138" s="22"/>
      <x:c r="K138" s="22"/>
      <x:c r="L138" s="22" t="str">
        <x:f>IF(OR(H138="",J138="Состоялась",J138="Отменена"),"",H138-TODAY())</x:f>
      </x:c>
    </x:row>
    <x:row r="139">
      <x:c r="A139" s="22" t="str">
        <x:f>IF(B139="","","CP-"&amp;TEXT(ROW()-2,"0000"))</x:f>
      </x:c>
      <x:c r="B139" s="22"/>
      <x:c r="C139" s="26"/>
      <x:c r="D139" s="22"/>
      <x:c r="E139" s="22"/>
      <x:c r="F139" s="22"/>
      <x:c r="G139" s="22"/>
      <x:c r="H139" s="26"/>
      <x:c r="I139" s="22"/>
      <x:c r="J139" s="22"/>
      <x:c r="K139" s="22"/>
      <x:c r="L139" s="22" t="str">
        <x:f>IF(OR(H139="",J139="Состоялась",J139="Отменена"),"",H139-TODAY())</x:f>
      </x:c>
    </x:row>
    <x:row r="140">
      <x:c r="A140" s="22" t="str">
        <x:f>IF(B140="","","CP-"&amp;TEXT(ROW()-2,"0000"))</x:f>
      </x:c>
      <x:c r="B140" s="22"/>
      <x:c r="C140" s="26"/>
      <x:c r="D140" s="22"/>
      <x:c r="E140" s="22"/>
      <x:c r="F140" s="22"/>
      <x:c r="G140" s="22"/>
      <x:c r="H140" s="26"/>
      <x:c r="I140" s="22"/>
      <x:c r="J140" s="22"/>
      <x:c r="K140" s="22"/>
      <x:c r="L140" s="22" t="str">
        <x:f>IF(OR(H140="",J140="Состоялась",J140="Отменена"),"",H140-TODAY())</x:f>
      </x:c>
    </x:row>
    <x:row r="141">
      <x:c r="A141" s="22" t="str">
        <x:f>IF(B141="","","CP-"&amp;TEXT(ROW()-2,"0000"))</x:f>
      </x:c>
      <x:c r="B141" s="22"/>
      <x:c r="C141" s="26"/>
      <x:c r="D141" s="22"/>
      <x:c r="E141" s="22"/>
      <x:c r="F141" s="22"/>
      <x:c r="G141" s="22"/>
      <x:c r="H141" s="26"/>
      <x:c r="I141" s="22"/>
      <x:c r="J141" s="22"/>
      <x:c r="K141" s="22"/>
      <x:c r="L141" s="22" t="str">
        <x:f>IF(OR(H141="",J141="Состоялась",J141="Отменена"),"",H141-TODAY())</x:f>
      </x:c>
    </x:row>
    <x:row r="142">
      <x:c r="A142" s="22" t="str">
        <x:f>IF(B142="","","CP-"&amp;TEXT(ROW()-2,"0000"))</x:f>
      </x:c>
      <x:c r="B142" s="22"/>
      <x:c r="C142" s="26"/>
      <x:c r="D142" s="22"/>
      <x:c r="E142" s="22"/>
      <x:c r="F142" s="22"/>
      <x:c r="G142" s="22"/>
      <x:c r="H142" s="26"/>
      <x:c r="I142" s="22"/>
      <x:c r="J142" s="22"/>
      <x:c r="K142" s="22"/>
      <x:c r="L142" s="22" t="str">
        <x:f>IF(OR(H142="",J142="Состоялась",J142="Отменена"),"",H142-TODAY())</x:f>
      </x:c>
    </x:row>
    <x:row r="143">
      <x:c r="A143" s="22" t="str">
        <x:f>IF(B143="","","CP-"&amp;TEXT(ROW()-2,"0000"))</x:f>
      </x:c>
      <x:c r="B143" s="22"/>
      <x:c r="C143" s="26"/>
      <x:c r="D143" s="22"/>
      <x:c r="E143" s="22"/>
      <x:c r="F143" s="22"/>
      <x:c r="G143" s="22"/>
      <x:c r="H143" s="26"/>
      <x:c r="I143" s="22"/>
      <x:c r="J143" s="22"/>
      <x:c r="K143" s="22"/>
      <x:c r="L143" s="22" t="str">
        <x:f>IF(OR(H143="",J143="Состоялась",J143="Отменена"),"",H143-TODAY())</x:f>
      </x:c>
    </x:row>
    <x:row r="144">
      <x:c r="A144" s="22" t="str">
        <x:f>IF(B144="","","CP-"&amp;TEXT(ROW()-2,"0000"))</x:f>
      </x:c>
      <x:c r="B144" s="22"/>
      <x:c r="C144" s="26"/>
      <x:c r="D144" s="22"/>
      <x:c r="E144" s="22"/>
      <x:c r="F144" s="22"/>
      <x:c r="G144" s="22"/>
      <x:c r="H144" s="26"/>
      <x:c r="I144" s="22"/>
      <x:c r="J144" s="22"/>
      <x:c r="K144" s="22"/>
      <x:c r="L144" s="22" t="str">
        <x:f>IF(OR(H144="",J144="Состоялась",J144="Отменена"),"",H144-TODAY())</x:f>
      </x:c>
    </x:row>
    <x:row r="145">
      <x:c r="A145" s="22" t="str">
        <x:f>IF(B145="","","CP-"&amp;TEXT(ROW()-2,"0000"))</x:f>
      </x:c>
      <x:c r="B145" s="22"/>
      <x:c r="C145" s="26"/>
      <x:c r="D145" s="22"/>
      <x:c r="E145" s="22"/>
      <x:c r="F145" s="22"/>
      <x:c r="G145" s="22"/>
      <x:c r="H145" s="26"/>
      <x:c r="I145" s="22"/>
      <x:c r="J145" s="22"/>
      <x:c r="K145" s="22"/>
      <x:c r="L145" s="22" t="str">
        <x:f>IF(OR(H145="",J145="Состоялась",J145="Отменена"),"",H145-TODAY())</x:f>
      </x:c>
    </x:row>
    <x:row r="146">
      <x:c r="A146" s="22" t="str">
        <x:f>IF(B146="","","CP-"&amp;TEXT(ROW()-2,"0000"))</x:f>
      </x:c>
      <x:c r="B146" s="22"/>
      <x:c r="C146" s="26"/>
      <x:c r="D146" s="22"/>
      <x:c r="E146" s="22"/>
      <x:c r="F146" s="22"/>
      <x:c r="G146" s="22"/>
      <x:c r="H146" s="26"/>
      <x:c r="I146" s="22"/>
      <x:c r="J146" s="22"/>
      <x:c r="K146" s="22"/>
      <x:c r="L146" s="22" t="str">
        <x:f>IF(OR(H146="",J146="Состоялась",J146="Отменена"),"",H146-TODAY())</x:f>
      </x:c>
    </x:row>
    <x:row r="147">
      <x:c r="A147" s="22" t="str">
        <x:f>IF(B147="","","CP-"&amp;TEXT(ROW()-2,"0000"))</x:f>
      </x:c>
      <x:c r="B147" s="22"/>
      <x:c r="C147" s="26"/>
      <x:c r="D147" s="22"/>
      <x:c r="E147" s="22"/>
      <x:c r="F147" s="22"/>
      <x:c r="G147" s="22"/>
      <x:c r="H147" s="26"/>
      <x:c r="I147" s="22"/>
      <x:c r="J147" s="22"/>
      <x:c r="K147" s="22"/>
      <x:c r="L147" s="22" t="str">
        <x:f>IF(OR(H147="",J147="Состоялась",J147="Отменена"),"",H147-TODAY())</x:f>
      </x:c>
    </x:row>
    <x:row r="148">
      <x:c r="A148" s="22" t="str">
        <x:f>IF(B148="","","CP-"&amp;TEXT(ROW()-2,"0000"))</x:f>
      </x:c>
      <x:c r="B148" s="22"/>
      <x:c r="C148" s="26"/>
      <x:c r="D148" s="22"/>
      <x:c r="E148" s="22"/>
      <x:c r="F148" s="22"/>
      <x:c r="G148" s="22"/>
      <x:c r="H148" s="26"/>
      <x:c r="I148" s="22"/>
      <x:c r="J148" s="22"/>
      <x:c r="K148" s="22"/>
      <x:c r="L148" s="22" t="str">
        <x:f>IF(OR(H148="",J148="Состоялась",J148="Отменена"),"",H148-TODAY())</x:f>
      </x:c>
    </x:row>
    <x:row r="149">
      <x:c r="A149" s="22" t="str">
        <x:f>IF(B149="","","CP-"&amp;TEXT(ROW()-2,"0000"))</x:f>
      </x:c>
      <x:c r="B149" s="22"/>
      <x:c r="C149" s="26"/>
      <x:c r="D149" s="22"/>
      <x:c r="E149" s="22"/>
      <x:c r="F149" s="22"/>
      <x:c r="G149" s="22"/>
      <x:c r="H149" s="26"/>
      <x:c r="I149" s="22"/>
      <x:c r="J149" s="22"/>
      <x:c r="K149" s="22"/>
      <x:c r="L149" s="22" t="str">
        <x:f>IF(OR(H149="",J149="Состоялась",J149="Отменена"),"",H149-TODAY())</x:f>
      </x:c>
    </x:row>
    <x:row r="150">
      <x:c r="A150" s="22" t="str">
        <x:f>IF(B150="","","CP-"&amp;TEXT(ROW()-2,"0000"))</x:f>
      </x:c>
      <x:c r="B150" s="22"/>
      <x:c r="C150" s="26"/>
      <x:c r="D150" s="22"/>
      <x:c r="E150" s="22"/>
      <x:c r="F150" s="22"/>
      <x:c r="G150" s="22"/>
      <x:c r="H150" s="26"/>
      <x:c r="I150" s="22"/>
      <x:c r="J150" s="22"/>
      <x:c r="K150" s="22"/>
      <x:c r="L150" s="22" t="str">
        <x:f>IF(OR(H150="",J150="Состоялась",J150="Отменена"),"",H150-TODAY())</x:f>
      </x:c>
    </x:row>
    <x:row r="151">
      <x:c r="A151" s="22" t="str">
        <x:f>IF(B151="","","CP-"&amp;TEXT(ROW()-2,"0000"))</x:f>
      </x:c>
      <x:c r="B151" s="22"/>
      <x:c r="C151" s="26"/>
      <x:c r="D151" s="22"/>
      <x:c r="E151" s="22"/>
      <x:c r="F151" s="22"/>
      <x:c r="G151" s="22"/>
      <x:c r="H151" s="26"/>
      <x:c r="I151" s="22"/>
      <x:c r="J151" s="22"/>
      <x:c r="K151" s="22"/>
      <x:c r="L151" s="22" t="str">
        <x:f>IF(OR(H151="",J151="Состоялась",J151="Отменена"),"",H151-TODAY())</x:f>
      </x:c>
    </x:row>
    <x:row r="152">
      <x:c r="A152" s="22" t="str">
        <x:f>IF(B152="","","CP-"&amp;TEXT(ROW()-2,"0000"))</x:f>
      </x:c>
      <x:c r="B152" s="22"/>
      <x:c r="C152" s="26"/>
      <x:c r="D152" s="22"/>
      <x:c r="E152" s="22"/>
      <x:c r="F152" s="22"/>
      <x:c r="G152" s="22"/>
      <x:c r="H152" s="26"/>
      <x:c r="I152" s="22"/>
      <x:c r="J152" s="22"/>
      <x:c r="K152" s="22"/>
      <x:c r="L152" s="22" t="str">
        <x:f>IF(OR(H152="",J152="Состоялась",J152="Отменена"),"",H152-TODAY())</x:f>
      </x:c>
    </x:row>
    <x:row r="153">
      <x:c r="A153" s="22" t="str">
        <x:f>IF(B153="","","CP-"&amp;TEXT(ROW()-2,"0000"))</x:f>
      </x:c>
      <x:c r="B153" s="22"/>
      <x:c r="C153" s="26"/>
      <x:c r="D153" s="22"/>
      <x:c r="E153" s="22"/>
      <x:c r="F153" s="22"/>
      <x:c r="G153" s="22"/>
      <x:c r="H153" s="26"/>
      <x:c r="I153" s="22"/>
      <x:c r="J153" s="22"/>
      <x:c r="K153" s="22"/>
      <x:c r="L153" s="22" t="str">
        <x:f>IF(OR(H153="",J153="Состоялась",J153="Отменена"),"",H153-TODAY())</x:f>
      </x:c>
    </x:row>
    <x:row r="154">
      <x:c r="A154" s="22" t="str">
        <x:f>IF(B154="","","CP-"&amp;TEXT(ROW()-2,"0000"))</x:f>
      </x:c>
      <x:c r="B154" s="22"/>
      <x:c r="C154" s="26"/>
      <x:c r="D154" s="22"/>
      <x:c r="E154" s="22"/>
      <x:c r="F154" s="22"/>
      <x:c r="G154" s="22"/>
      <x:c r="H154" s="26"/>
      <x:c r="I154" s="22"/>
      <x:c r="J154" s="22"/>
      <x:c r="K154" s="22"/>
      <x:c r="L154" s="22" t="str">
        <x:f>IF(OR(H154="",J154="Состоялась",J154="Отменена"),"",H154-TODAY())</x:f>
      </x:c>
    </x:row>
    <x:row r="155">
      <x:c r="A155" s="22" t="str">
        <x:f>IF(B155="","","CP-"&amp;TEXT(ROW()-2,"0000"))</x:f>
      </x:c>
      <x:c r="B155" s="22"/>
      <x:c r="C155" s="26"/>
      <x:c r="D155" s="22"/>
      <x:c r="E155" s="22"/>
      <x:c r="F155" s="22"/>
      <x:c r="G155" s="22"/>
      <x:c r="H155" s="26"/>
      <x:c r="I155" s="22"/>
      <x:c r="J155" s="22"/>
      <x:c r="K155" s="22"/>
      <x:c r="L155" s="22" t="str">
        <x:f>IF(OR(H155="",J155="Состоялась",J155="Отменена"),"",H155-TODAY())</x:f>
      </x:c>
    </x:row>
    <x:row r="156">
      <x:c r="A156" s="22" t="str">
        <x:f>IF(B156="","","CP-"&amp;TEXT(ROW()-2,"0000"))</x:f>
      </x:c>
      <x:c r="B156" s="22"/>
      <x:c r="C156" s="26"/>
      <x:c r="D156" s="22"/>
      <x:c r="E156" s="22"/>
      <x:c r="F156" s="22"/>
      <x:c r="G156" s="22"/>
      <x:c r="H156" s="26"/>
      <x:c r="I156" s="22"/>
      <x:c r="J156" s="22"/>
      <x:c r="K156" s="22"/>
      <x:c r="L156" s="22" t="str">
        <x:f>IF(OR(H156="",J156="Состоялась",J156="Отменена"),"",H156-TODAY())</x:f>
      </x:c>
    </x:row>
    <x:row r="157">
      <x:c r="A157" s="22" t="str">
        <x:f>IF(B157="","","CP-"&amp;TEXT(ROW()-2,"0000"))</x:f>
      </x:c>
      <x:c r="B157" s="22"/>
      <x:c r="C157" s="26"/>
      <x:c r="D157" s="22"/>
      <x:c r="E157" s="22"/>
      <x:c r="F157" s="22"/>
      <x:c r="G157" s="22"/>
      <x:c r="H157" s="26"/>
      <x:c r="I157" s="22"/>
      <x:c r="J157" s="22"/>
      <x:c r="K157" s="22"/>
      <x:c r="L157" s="22" t="str">
        <x:f>IF(OR(H157="",J157="Состоялась",J157="Отменена"),"",H157-TODAY())</x:f>
      </x:c>
    </x:row>
    <x:row r="158">
      <x:c r="A158" s="22" t="str">
        <x:f>IF(B158="","","CP-"&amp;TEXT(ROW()-2,"0000"))</x:f>
      </x:c>
      <x:c r="B158" s="22"/>
      <x:c r="C158" s="26"/>
      <x:c r="D158" s="22"/>
      <x:c r="E158" s="22"/>
      <x:c r="F158" s="22"/>
      <x:c r="G158" s="22"/>
      <x:c r="H158" s="26"/>
      <x:c r="I158" s="22"/>
      <x:c r="J158" s="22"/>
      <x:c r="K158" s="22"/>
      <x:c r="L158" s="22" t="str">
        <x:f>IF(OR(H158="",J158="Состоялась",J158="Отменена"),"",H158-TODAY())</x:f>
      </x:c>
    </x:row>
    <x:row r="159">
      <x:c r="A159" s="22" t="str">
        <x:f>IF(B159="","","CP-"&amp;TEXT(ROW()-2,"0000"))</x:f>
      </x:c>
      <x:c r="B159" s="22"/>
      <x:c r="C159" s="26"/>
      <x:c r="D159" s="22"/>
      <x:c r="E159" s="22"/>
      <x:c r="F159" s="22"/>
      <x:c r="G159" s="22"/>
      <x:c r="H159" s="26"/>
      <x:c r="I159" s="22"/>
      <x:c r="J159" s="22"/>
      <x:c r="K159" s="22"/>
      <x:c r="L159" s="22" t="str">
        <x:f>IF(OR(H159="",J159="Состоялась",J159="Отменена"),"",H159-TODAY())</x:f>
      </x:c>
    </x:row>
    <x:row r="160">
      <x:c r="A160" s="22" t="str">
        <x:f>IF(B160="","","CP-"&amp;TEXT(ROW()-2,"0000"))</x:f>
      </x:c>
      <x:c r="B160" s="22"/>
      <x:c r="C160" s="26"/>
      <x:c r="D160" s="22"/>
      <x:c r="E160" s="22"/>
      <x:c r="F160" s="22"/>
      <x:c r="G160" s="22"/>
      <x:c r="H160" s="26"/>
      <x:c r="I160" s="22"/>
      <x:c r="J160" s="22"/>
      <x:c r="K160" s="22"/>
      <x:c r="L160" s="22" t="str">
        <x:f>IF(OR(H160="",J160="Состоялась",J160="Отменена"),"",H160-TODAY())</x:f>
      </x:c>
    </x:row>
    <x:row r="161">
      <x:c r="A161" s="22" t="str">
        <x:f>IF(B161="","","CP-"&amp;TEXT(ROW()-2,"0000"))</x:f>
      </x:c>
      <x:c r="B161" s="22"/>
      <x:c r="C161" s="26"/>
      <x:c r="D161" s="22"/>
      <x:c r="E161" s="22"/>
      <x:c r="F161" s="22"/>
      <x:c r="G161" s="22"/>
      <x:c r="H161" s="26"/>
      <x:c r="I161" s="22"/>
      <x:c r="J161" s="22"/>
      <x:c r="K161" s="22"/>
      <x:c r="L161" s="22" t="str">
        <x:f>IF(OR(H161="",J161="Состоялась",J161="Отменена"),"",H161-TODAY())</x:f>
      </x:c>
    </x:row>
    <x:row r="162">
      <x:c r="A162" s="22" t="str">
        <x:f>IF(B162="","","CP-"&amp;TEXT(ROW()-2,"0000"))</x:f>
      </x:c>
      <x:c r="B162" s="22"/>
      <x:c r="C162" s="26"/>
      <x:c r="D162" s="22"/>
      <x:c r="E162" s="22"/>
      <x:c r="F162" s="22"/>
      <x:c r="G162" s="22"/>
      <x:c r="H162" s="26"/>
      <x:c r="I162" s="22"/>
      <x:c r="J162" s="22"/>
      <x:c r="K162" s="22"/>
      <x:c r="L162" s="22" t="str">
        <x:f>IF(OR(H162="",J162="Состоялась",J162="Отменена"),"",H162-TODAY())</x:f>
      </x:c>
    </x:row>
    <x:row r="163">
      <x:c r="A163" s="22" t="str">
        <x:f>IF(B163="","","CP-"&amp;TEXT(ROW()-2,"0000"))</x:f>
      </x:c>
      <x:c r="B163" s="22"/>
      <x:c r="C163" s="26"/>
      <x:c r="D163" s="22"/>
      <x:c r="E163" s="22"/>
      <x:c r="F163" s="22"/>
      <x:c r="G163" s="22"/>
      <x:c r="H163" s="26"/>
      <x:c r="I163" s="22"/>
      <x:c r="J163" s="22"/>
      <x:c r="K163" s="22"/>
      <x:c r="L163" s="22" t="str">
        <x:f>IF(OR(H163="",J163="Состоялась",J163="Отменена"),"",H163-TODAY())</x:f>
      </x:c>
    </x:row>
    <x:row r="164">
      <x:c r="A164" s="22" t="str">
        <x:f>IF(B164="","","CP-"&amp;TEXT(ROW()-2,"0000"))</x:f>
      </x:c>
      <x:c r="B164" s="22"/>
      <x:c r="C164" s="26"/>
      <x:c r="D164" s="22"/>
      <x:c r="E164" s="22"/>
      <x:c r="F164" s="22"/>
      <x:c r="G164" s="22"/>
      <x:c r="H164" s="26"/>
      <x:c r="I164" s="22"/>
      <x:c r="J164" s="22"/>
      <x:c r="K164" s="22"/>
      <x:c r="L164" s="22" t="str">
        <x:f>IF(OR(H164="",J164="Состоялась",J164="Отменена"),"",H164-TODAY())</x:f>
      </x:c>
    </x:row>
    <x:row r="165">
      <x:c r="A165" s="22" t="str">
        <x:f>IF(B165="","","CP-"&amp;TEXT(ROW()-2,"0000"))</x:f>
      </x:c>
      <x:c r="B165" s="22"/>
      <x:c r="C165" s="26"/>
      <x:c r="D165" s="22"/>
      <x:c r="E165" s="22"/>
      <x:c r="F165" s="22"/>
      <x:c r="G165" s="22"/>
      <x:c r="H165" s="26"/>
      <x:c r="I165" s="22"/>
      <x:c r="J165" s="22"/>
      <x:c r="K165" s="22"/>
      <x:c r="L165" s="22" t="str">
        <x:f>IF(OR(H165="",J165="Состоялась",J165="Отменена"),"",H165-TODAY())</x:f>
      </x:c>
    </x:row>
    <x:row r="166">
      <x:c r="A166" s="22" t="str">
        <x:f>IF(B166="","","CP-"&amp;TEXT(ROW()-2,"0000"))</x:f>
      </x:c>
      <x:c r="B166" s="22"/>
      <x:c r="C166" s="26"/>
      <x:c r="D166" s="22"/>
      <x:c r="E166" s="22"/>
      <x:c r="F166" s="22"/>
      <x:c r="G166" s="22"/>
      <x:c r="H166" s="26"/>
      <x:c r="I166" s="22"/>
      <x:c r="J166" s="22"/>
      <x:c r="K166" s="22"/>
      <x:c r="L166" s="22" t="str">
        <x:f>IF(OR(H166="",J166="Состоялась",J166="Отменена"),"",H166-TODAY())</x:f>
      </x:c>
    </x:row>
    <x:row r="167">
      <x:c r="A167" s="22" t="str">
        <x:f>IF(B167="","","CP-"&amp;TEXT(ROW()-2,"0000"))</x:f>
      </x:c>
      <x:c r="B167" s="22"/>
      <x:c r="C167" s="26"/>
      <x:c r="D167" s="22"/>
      <x:c r="E167" s="22"/>
      <x:c r="F167" s="22"/>
      <x:c r="G167" s="22"/>
      <x:c r="H167" s="26"/>
      <x:c r="I167" s="22"/>
      <x:c r="J167" s="22"/>
      <x:c r="K167" s="22"/>
      <x:c r="L167" s="22" t="str">
        <x:f>IF(OR(H167="",J167="Состоялась",J167="Отменена"),"",H167-TODAY())</x:f>
      </x:c>
    </x:row>
    <x:row r="168">
      <x:c r="A168" s="22" t="str">
        <x:f>IF(B168="","","CP-"&amp;TEXT(ROW()-2,"0000"))</x:f>
      </x:c>
      <x:c r="B168" s="22"/>
      <x:c r="C168" s="26"/>
      <x:c r="D168" s="22"/>
      <x:c r="E168" s="22"/>
      <x:c r="F168" s="22"/>
      <x:c r="G168" s="22"/>
      <x:c r="H168" s="26"/>
      <x:c r="I168" s="22"/>
      <x:c r="J168" s="22"/>
      <x:c r="K168" s="22"/>
      <x:c r="L168" s="22" t="str">
        <x:f>IF(OR(H168="",J168="Состоялась",J168="Отменена"),"",H168-TODAY())</x:f>
      </x:c>
    </x:row>
    <x:row r="169">
      <x:c r="A169" s="22" t="str">
        <x:f>IF(B169="","","CP-"&amp;TEXT(ROW()-2,"0000"))</x:f>
      </x:c>
      <x:c r="B169" s="22"/>
      <x:c r="C169" s="26"/>
      <x:c r="D169" s="22"/>
      <x:c r="E169" s="22"/>
      <x:c r="F169" s="22"/>
      <x:c r="G169" s="22"/>
      <x:c r="H169" s="26"/>
      <x:c r="I169" s="22"/>
      <x:c r="J169" s="22"/>
      <x:c r="K169" s="22"/>
      <x:c r="L169" s="22" t="str">
        <x:f>IF(OR(H169="",J169="Состоялась",J169="Отменена"),"",H169-TODAY())</x:f>
      </x:c>
    </x:row>
    <x:row r="170">
      <x:c r="A170" s="22" t="str">
        <x:f>IF(B170="","","CP-"&amp;TEXT(ROW()-2,"0000"))</x:f>
      </x:c>
      <x:c r="B170" s="22"/>
      <x:c r="C170" s="26"/>
      <x:c r="D170" s="22"/>
      <x:c r="E170" s="22"/>
      <x:c r="F170" s="22"/>
      <x:c r="G170" s="22"/>
      <x:c r="H170" s="26"/>
      <x:c r="I170" s="22"/>
      <x:c r="J170" s="22"/>
      <x:c r="K170" s="22"/>
      <x:c r="L170" s="22" t="str">
        <x:f>IF(OR(H170="",J170="Состоялась",J170="Отменена"),"",H170-TODAY())</x:f>
      </x:c>
    </x:row>
    <x:row r="171">
      <x:c r="A171" s="22" t="str">
        <x:f>IF(B171="","","CP-"&amp;TEXT(ROW()-2,"0000"))</x:f>
      </x:c>
      <x:c r="B171" s="22"/>
      <x:c r="C171" s="26"/>
      <x:c r="D171" s="22"/>
      <x:c r="E171" s="22"/>
      <x:c r="F171" s="22"/>
      <x:c r="G171" s="22"/>
      <x:c r="H171" s="26"/>
      <x:c r="I171" s="22"/>
      <x:c r="J171" s="22"/>
      <x:c r="K171" s="22"/>
      <x:c r="L171" s="22" t="str">
        <x:f>IF(OR(H171="",J171="Состоялась",J171="Отменена"),"",H171-TODAY())</x:f>
      </x:c>
    </x:row>
    <x:row r="172">
      <x:c r="A172" s="22" t="str">
        <x:f>IF(B172="","","CP-"&amp;TEXT(ROW()-2,"0000"))</x:f>
      </x:c>
      <x:c r="B172" s="22"/>
      <x:c r="C172" s="26"/>
      <x:c r="D172" s="22"/>
      <x:c r="E172" s="22"/>
      <x:c r="F172" s="22"/>
      <x:c r="G172" s="22"/>
      <x:c r="H172" s="26"/>
      <x:c r="I172" s="22"/>
      <x:c r="J172" s="22"/>
      <x:c r="K172" s="22"/>
      <x:c r="L172" s="22" t="str">
        <x:f>IF(OR(H172="",J172="Состоялась",J172="Отменена"),"",H172-TODAY())</x:f>
      </x:c>
    </x:row>
    <x:row r="173">
      <x:c r="A173" s="22" t="str">
        <x:f>IF(B173="","","CP-"&amp;TEXT(ROW()-2,"0000"))</x:f>
      </x:c>
      <x:c r="B173" s="22"/>
      <x:c r="C173" s="26"/>
      <x:c r="D173" s="22"/>
      <x:c r="E173" s="22"/>
      <x:c r="F173" s="22"/>
      <x:c r="G173" s="22"/>
      <x:c r="H173" s="26"/>
      <x:c r="I173" s="22"/>
      <x:c r="J173" s="22"/>
      <x:c r="K173" s="22"/>
      <x:c r="L173" s="22" t="str">
        <x:f>IF(OR(H173="",J173="Состоялась",J173="Отменена"),"",H173-TODAY())</x:f>
      </x:c>
    </x:row>
    <x:row r="174">
      <x:c r="A174" s="22" t="str">
        <x:f>IF(B174="","","CP-"&amp;TEXT(ROW()-2,"0000"))</x:f>
      </x:c>
      <x:c r="B174" s="22"/>
      <x:c r="C174" s="26"/>
      <x:c r="D174" s="22"/>
      <x:c r="E174" s="22"/>
      <x:c r="F174" s="22"/>
      <x:c r="G174" s="22"/>
      <x:c r="H174" s="26"/>
      <x:c r="I174" s="22"/>
      <x:c r="J174" s="22"/>
      <x:c r="K174" s="22"/>
      <x:c r="L174" s="22" t="str">
        <x:f>IF(OR(H174="",J174="Состоялась",J174="Отменена"),"",H174-TODAY())</x:f>
      </x:c>
    </x:row>
    <x:row r="175">
      <x:c r="A175" s="22" t="str">
        <x:f>IF(B175="","","CP-"&amp;TEXT(ROW()-2,"0000"))</x:f>
      </x:c>
      <x:c r="B175" s="22"/>
      <x:c r="C175" s="26"/>
      <x:c r="D175" s="22"/>
      <x:c r="E175" s="22"/>
      <x:c r="F175" s="22"/>
      <x:c r="G175" s="22"/>
      <x:c r="H175" s="26"/>
      <x:c r="I175" s="22"/>
      <x:c r="J175" s="22"/>
      <x:c r="K175" s="22"/>
      <x:c r="L175" s="22" t="str">
        <x:f>IF(OR(H175="",J175="Состоялась",J175="Отменена"),"",H175-TODAY())</x:f>
      </x:c>
    </x:row>
    <x:row r="176">
      <x:c r="A176" s="22" t="str">
        <x:f>IF(B176="","","CP-"&amp;TEXT(ROW()-2,"0000"))</x:f>
      </x:c>
      <x:c r="B176" s="22"/>
      <x:c r="C176" s="26"/>
      <x:c r="D176" s="22"/>
      <x:c r="E176" s="22"/>
      <x:c r="F176" s="22"/>
      <x:c r="G176" s="22"/>
      <x:c r="H176" s="26"/>
      <x:c r="I176" s="22"/>
      <x:c r="J176" s="22"/>
      <x:c r="K176" s="22"/>
      <x:c r="L176" s="22" t="str">
        <x:f>IF(OR(H176="",J176="Состоялась",J176="Отменена"),"",H176-TODAY())</x:f>
      </x:c>
    </x:row>
    <x:row r="177">
      <x:c r="A177" s="22" t="str">
        <x:f>IF(B177="","","CP-"&amp;TEXT(ROW()-2,"0000"))</x:f>
      </x:c>
      <x:c r="B177" s="22"/>
      <x:c r="C177" s="26"/>
      <x:c r="D177" s="22"/>
      <x:c r="E177" s="22"/>
      <x:c r="F177" s="22"/>
      <x:c r="G177" s="22"/>
      <x:c r="H177" s="26"/>
      <x:c r="I177" s="22"/>
      <x:c r="J177" s="22"/>
      <x:c r="K177" s="22"/>
      <x:c r="L177" s="22" t="str">
        <x:f>IF(OR(H177="",J177="Состоялась",J177="Отменена"),"",H177-TODAY())</x:f>
      </x:c>
    </x:row>
    <x:row r="178">
      <x:c r="A178" s="22" t="str">
        <x:f>IF(B178="","","CP-"&amp;TEXT(ROW()-2,"0000"))</x:f>
      </x:c>
      <x:c r="B178" s="22"/>
      <x:c r="C178" s="26"/>
      <x:c r="D178" s="22"/>
      <x:c r="E178" s="22"/>
      <x:c r="F178" s="22"/>
      <x:c r="G178" s="22"/>
      <x:c r="H178" s="26"/>
      <x:c r="I178" s="22"/>
      <x:c r="J178" s="22"/>
      <x:c r="K178" s="22"/>
      <x:c r="L178" s="22" t="str">
        <x:f>IF(OR(H178="",J178="Состоялась",J178="Отменена"),"",H178-TODAY())</x:f>
      </x:c>
    </x:row>
    <x:row r="179">
      <x:c r="A179" s="22" t="str">
        <x:f>IF(B179="","","CP-"&amp;TEXT(ROW()-2,"0000"))</x:f>
      </x:c>
      <x:c r="B179" s="22"/>
      <x:c r="C179" s="26"/>
      <x:c r="D179" s="22"/>
      <x:c r="E179" s="22"/>
      <x:c r="F179" s="22"/>
      <x:c r="G179" s="22"/>
      <x:c r="H179" s="26"/>
      <x:c r="I179" s="22"/>
      <x:c r="J179" s="22"/>
      <x:c r="K179" s="22"/>
      <x:c r="L179" s="22" t="str">
        <x:f>IF(OR(H179="",J179="Состоялась",J179="Отменена"),"",H179-TODAY())</x:f>
      </x:c>
    </x:row>
    <x:row r="180">
      <x:c r="A180" s="22" t="str">
        <x:f>IF(B180="","","CP-"&amp;TEXT(ROW()-2,"0000"))</x:f>
      </x:c>
      <x:c r="B180" s="22"/>
      <x:c r="C180" s="26"/>
      <x:c r="D180" s="22"/>
      <x:c r="E180" s="22"/>
      <x:c r="F180" s="22"/>
      <x:c r="G180" s="22"/>
      <x:c r="H180" s="26"/>
      <x:c r="I180" s="22"/>
      <x:c r="J180" s="22"/>
      <x:c r="K180" s="22"/>
      <x:c r="L180" s="22" t="str">
        <x:f>IF(OR(H180="",J180="Состоялась",J180="Отменена"),"",H180-TODAY())</x:f>
      </x:c>
    </x:row>
    <x:row r="181">
      <x:c r="A181" s="22" t="str">
        <x:f>IF(B181="","","CP-"&amp;TEXT(ROW()-2,"0000"))</x:f>
      </x:c>
      <x:c r="B181" s="22"/>
      <x:c r="C181" s="26"/>
      <x:c r="D181" s="22"/>
      <x:c r="E181" s="22"/>
      <x:c r="F181" s="22"/>
      <x:c r="G181" s="22"/>
      <x:c r="H181" s="26"/>
      <x:c r="I181" s="22"/>
      <x:c r="J181" s="22"/>
      <x:c r="K181" s="22"/>
      <x:c r="L181" s="22" t="str">
        <x:f>IF(OR(H181="",J181="Состоялась",J181="Отменена"),"",H181-TODAY())</x:f>
      </x:c>
    </x:row>
    <x:row r="182">
      <x:c r="A182" s="22" t="str">
        <x:f>IF(B182="","","CP-"&amp;TEXT(ROW()-2,"0000"))</x:f>
      </x:c>
      <x:c r="B182" s="22"/>
      <x:c r="C182" s="26"/>
      <x:c r="D182" s="22"/>
      <x:c r="E182" s="22"/>
      <x:c r="F182" s="22"/>
      <x:c r="G182" s="22"/>
      <x:c r="H182" s="26"/>
      <x:c r="I182" s="22"/>
      <x:c r="J182" s="22"/>
      <x:c r="K182" s="22"/>
      <x:c r="L182" s="22" t="str">
        <x:f>IF(OR(H182="",J182="Состоялась",J182="Отменена"),"",H182-TODAY())</x:f>
      </x:c>
    </x:row>
    <x:row r="183">
      <x:c r="A183" s="22" t="str">
        <x:f>IF(B183="","","CP-"&amp;TEXT(ROW()-2,"0000"))</x:f>
      </x:c>
      <x:c r="B183" s="22"/>
      <x:c r="C183" s="26"/>
      <x:c r="D183" s="22"/>
      <x:c r="E183" s="22"/>
      <x:c r="F183" s="22"/>
      <x:c r="G183" s="22"/>
      <x:c r="H183" s="26"/>
      <x:c r="I183" s="22"/>
      <x:c r="J183" s="22"/>
      <x:c r="K183" s="22"/>
      <x:c r="L183" s="22" t="str">
        <x:f>IF(OR(H183="",J183="Состоялась",J183="Отменена"),"",H183-TODAY())</x:f>
      </x:c>
    </x:row>
    <x:row r="184">
      <x:c r="A184" s="22" t="str">
        <x:f>IF(B184="","","CP-"&amp;TEXT(ROW()-2,"0000"))</x:f>
      </x:c>
      <x:c r="B184" s="22"/>
      <x:c r="C184" s="26"/>
      <x:c r="D184" s="22"/>
      <x:c r="E184" s="22"/>
      <x:c r="F184" s="22"/>
      <x:c r="G184" s="22"/>
      <x:c r="H184" s="26"/>
      <x:c r="I184" s="22"/>
      <x:c r="J184" s="22"/>
      <x:c r="K184" s="22"/>
      <x:c r="L184" s="22" t="str">
        <x:f>IF(OR(H184="",J184="Состоялась",J184="Отменена"),"",H184-TODAY())</x:f>
      </x:c>
    </x:row>
    <x:row r="185">
      <x:c r="A185" s="22" t="str">
        <x:f>IF(B185="","","CP-"&amp;TEXT(ROW()-2,"0000"))</x:f>
      </x:c>
      <x:c r="B185" s="22"/>
      <x:c r="C185" s="26"/>
      <x:c r="D185" s="22"/>
      <x:c r="E185" s="22"/>
      <x:c r="F185" s="22"/>
      <x:c r="G185" s="22"/>
      <x:c r="H185" s="26"/>
      <x:c r="I185" s="22"/>
      <x:c r="J185" s="22"/>
      <x:c r="K185" s="22"/>
      <x:c r="L185" s="22" t="str">
        <x:f>IF(OR(H185="",J185="Состоялась",J185="Отменена"),"",H185-TODAY())</x:f>
      </x:c>
    </x:row>
    <x:row r="186">
      <x:c r="A186" s="22" t="str">
        <x:f>IF(B186="","","CP-"&amp;TEXT(ROW()-2,"0000"))</x:f>
      </x:c>
      <x:c r="B186" s="22"/>
      <x:c r="C186" s="26"/>
      <x:c r="D186" s="22"/>
      <x:c r="E186" s="22"/>
      <x:c r="F186" s="22"/>
      <x:c r="G186" s="22"/>
      <x:c r="H186" s="26"/>
      <x:c r="I186" s="22"/>
      <x:c r="J186" s="22"/>
      <x:c r="K186" s="22"/>
      <x:c r="L186" s="22" t="str">
        <x:f>IF(OR(H186="",J186="Состоялась",J186="Отменена"),"",H186-TODAY())</x:f>
      </x:c>
    </x:row>
    <x:row r="187">
      <x:c r="A187" s="22" t="str">
        <x:f>IF(B187="","","CP-"&amp;TEXT(ROW()-2,"0000"))</x:f>
      </x:c>
      <x:c r="B187" s="22"/>
      <x:c r="C187" s="26"/>
      <x:c r="D187" s="22"/>
      <x:c r="E187" s="22"/>
      <x:c r="F187" s="22"/>
      <x:c r="G187" s="22"/>
      <x:c r="H187" s="26"/>
      <x:c r="I187" s="22"/>
      <x:c r="J187" s="22"/>
      <x:c r="K187" s="22"/>
      <x:c r="L187" s="22" t="str">
        <x:f>IF(OR(H187="",J187="Состоялась",J187="Отменена"),"",H187-TODAY())</x:f>
      </x:c>
    </x:row>
    <x:row r="188">
      <x:c r="A188" s="22" t="str">
        <x:f>IF(B188="","","CP-"&amp;TEXT(ROW()-2,"0000"))</x:f>
      </x:c>
      <x:c r="B188" s="22"/>
      <x:c r="C188" s="26"/>
      <x:c r="D188" s="22"/>
      <x:c r="E188" s="22"/>
      <x:c r="F188" s="22"/>
      <x:c r="G188" s="22"/>
      <x:c r="H188" s="26"/>
      <x:c r="I188" s="22"/>
      <x:c r="J188" s="22"/>
      <x:c r="K188" s="22"/>
      <x:c r="L188" s="22" t="str">
        <x:f>IF(OR(H188="",J188="Состоялась",J188="Отменена"),"",H188-TODAY())</x:f>
      </x:c>
    </x:row>
    <x:row r="189">
      <x:c r="A189" s="22" t="str">
        <x:f>IF(B189="","","CP-"&amp;TEXT(ROW()-2,"0000"))</x:f>
      </x:c>
      <x:c r="B189" s="22"/>
      <x:c r="C189" s="26"/>
      <x:c r="D189" s="22"/>
      <x:c r="E189" s="22"/>
      <x:c r="F189" s="22"/>
      <x:c r="G189" s="22"/>
      <x:c r="H189" s="26"/>
      <x:c r="I189" s="22"/>
      <x:c r="J189" s="22"/>
      <x:c r="K189" s="22"/>
      <x:c r="L189" s="22" t="str">
        <x:f>IF(OR(H189="",J189="Состоялась",J189="Отменена"),"",H189-TODAY())</x:f>
      </x:c>
    </x:row>
    <x:row r="190">
      <x:c r="A190" s="22" t="str">
        <x:f>IF(B190="","","CP-"&amp;TEXT(ROW()-2,"0000"))</x:f>
      </x:c>
      <x:c r="B190" s="22"/>
      <x:c r="C190" s="26"/>
      <x:c r="D190" s="22"/>
      <x:c r="E190" s="22"/>
      <x:c r="F190" s="22"/>
      <x:c r="G190" s="22"/>
      <x:c r="H190" s="26"/>
      <x:c r="I190" s="22"/>
      <x:c r="J190" s="22"/>
      <x:c r="K190" s="22"/>
      <x:c r="L190" s="22" t="str">
        <x:f>IF(OR(H190="",J190="Состоялась",J190="Отменена"),"",H190-TODAY())</x:f>
      </x:c>
    </x:row>
    <x:row r="191">
      <x:c r="A191" s="22" t="str">
        <x:f>IF(B191="","","CP-"&amp;TEXT(ROW()-2,"0000"))</x:f>
      </x:c>
      <x:c r="B191" s="22"/>
      <x:c r="C191" s="26"/>
      <x:c r="D191" s="22"/>
      <x:c r="E191" s="22"/>
      <x:c r="F191" s="22"/>
      <x:c r="G191" s="22"/>
      <x:c r="H191" s="26"/>
      <x:c r="I191" s="22"/>
      <x:c r="J191" s="22"/>
      <x:c r="K191" s="22"/>
      <x:c r="L191" s="22" t="str">
        <x:f>IF(OR(H191="",J191="Состоялась",J191="Отменена"),"",H191-TODAY())</x:f>
      </x:c>
    </x:row>
    <x:row r="192">
      <x:c r="A192" s="22" t="str">
        <x:f>IF(B192="","","CP-"&amp;TEXT(ROW()-2,"0000"))</x:f>
      </x:c>
      <x:c r="B192" s="22"/>
      <x:c r="C192" s="26"/>
      <x:c r="D192" s="22"/>
      <x:c r="E192" s="22"/>
      <x:c r="F192" s="22"/>
      <x:c r="G192" s="22"/>
      <x:c r="H192" s="26"/>
      <x:c r="I192" s="22"/>
      <x:c r="J192" s="22"/>
      <x:c r="K192" s="22"/>
      <x:c r="L192" s="22" t="str">
        <x:f>IF(OR(H192="",J192="Состоялась",J192="Отменена"),"",H192-TODAY())</x:f>
      </x:c>
    </x:row>
    <x:row r="193">
      <x:c r="A193" s="22" t="str">
        <x:f>IF(B193="","","CP-"&amp;TEXT(ROW()-2,"0000"))</x:f>
      </x:c>
      <x:c r="B193" s="22"/>
      <x:c r="C193" s="26"/>
      <x:c r="D193" s="22"/>
      <x:c r="E193" s="22"/>
      <x:c r="F193" s="22"/>
      <x:c r="G193" s="22"/>
      <x:c r="H193" s="26"/>
      <x:c r="I193" s="22"/>
      <x:c r="J193" s="22"/>
      <x:c r="K193" s="22"/>
      <x:c r="L193" s="22" t="str">
        <x:f>IF(OR(H193="",J193="Состоялась",J193="Отменена"),"",H193-TODAY())</x:f>
      </x:c>
    </x:row>
    <x:row r="194">
      <x:c r="A194" s="22" t="str">
        <x:f>IF(B194="","","CP-"&amp;TEXT(ROW()-2,"0000"))</x:f>
      </x:c>
      <x:c r="B194" s="22"/>
      <x:c r="C194" s="26"/>
      <x:c r="D194" s="22"/>
      <x:c r="E194" s="22"/>
      <x:c r="F194" s="22"/>
      <x:c r="G194" s="22"/>
      <x:c r="H194" s="26"/>
      <x:c r="I194" s="22"/>
      <x:c r="J194" s="22"/>
      <x:c r="K194" s="22"/>
      <x:c r="L194" s="22" t="str">
        <x:f>IF(OR(H194="",J194="Состоялась",J194="Отменена"),"",H194-TODAY())</x:f>
      </x:c>
    </x:row>
    <x:row r="195">
      <x:c r="A195" s="22" t="str">
        <x:f>IF(B195="","","CP-"&amp;TEXT(ROW()-2,"0000"))</x:f>
      </x:c>
      <x:c r="B195" s="22"/>
      <x:c r="C195" s="26"/>
      <x:c r="D195" s="22"/>
      <x:c r="E195" s="22"/>
      <x:c r="F195" s="22"/>
      <x:c r="G195" s="22"/>
      <x:c r="H195" s="26"/>
      <x:c r="I195" s="22"/>
      <x:c r="J195" s="22"/>
      <x:c r="K195" s="22"/>
      <x:c r="L195" s="22" t="str">
        <x:f>IF(OR(H195="",J195="Состоялась",J195="Отменена"),"",H195-TODAY())</x:f>
      </x:c>
    </x:row>
    <x:row r="196">
      <x:c r="A196" s="22" t="str">
        <x:f>IF(B196="","","CP-"&amp;TEXT(ROW()-2,"0000"))</x:f>
      </x:c>
      <x:c r="B196" s="22"/>
      <x:c r="C196" s="26"/>
      <x:c r="D196" s="22"/>
      <x:c r="E196" s="22"/>
      <x:c r="F196" s="22"/>
      <x:c r="G196" s="22"/>
      <x:c r="H196" s="26"/>
      <x:c r="I196" s="22"/>
      <x:c r="J196" s="22"/>
      <x:c r="K196" s="22"/>
      <x:c r="L196" s="22" t="str">
        <x:f>IF(OR(H196="",J196="Состоялась",J196="Отменена"),"",H196-TODAY())</x:f>
      </x:c>
    </x:row>
    <x:row r="197">
      <x:c r="A197" s="22" t="str">
        <x:f>IF(B197="","","CP-"&amp;TEXT(ROW()-2,"0000"))</x:f>
      </x:c>
      <x:c r="B197" s="22"/>
      <x:c r="C197" s="26"/>
      <x:c r="D197" s="22"/>
      <x:c r="E197" s="22"/>
      <x:c r="F197" s="22"/>
      <x:c r="G197" s="22"/>
      <x:c r="H197" s="26"/>
      <x:c r="I197" s="22"/>
      <x:c r="J197" s="22"/>
      <x:c r="K197" s="22"/>
      <x:c r="L197" s="22" t="str">
        <x:f>IF(OR(H197="",J197="Состоялась",J197="Отменена"),"",H197-TODAY())</x:f>
      </x:c>
    </x:row>
    <x:row r="198">
      <x:c r="A198" s="22" t="str">
        <x:f>IF(B198="","","CP-"&amp;TEXT(ROW()-2,"0000"))</x:f>
      </x:c>
      <x:c r="B198" s="22"/>
      <x:c r="C198" s="26"/>
      <x:c r="D198" s="22"/>
      <x:c r="E198" s="22"/>
      <x:c r="F198" s="22"/>
      <x:c r="G198" s="22"/>
      <x:c r="H198" s="26"/>
      <x:c r="I198" s="22"/>
      <x:c r="J198" s="22"/>
      <x:c r="K198" s="22"/>
      <x:c r="L198" s="22" t="str">
        <x:f>IF(OR(H198="",J198="Состоялась",J198="Отменена"),"",H198-TODAY())</x:f>
      </x:c>
    </x:row>
    <x:row r="199">
      <x:c r="A199" s="22" t="str">
        <x:f>IF(B199="","","CP-"&amp;TEXT(ROW()-2,"0000"))</x:f>
      </x:c>
      <x:c r="B199" s="22"/>
      <x:c r="C199" s="26"/>
      <x:c r="D199" s="22"/>
      <x:c r="E199" s="22"/>
      <x:c r="F199" s="22"/>
      <x:c r="G199" s="22"/>
      <x:c r="H199" s="26"/>
      <x:c r="I199" s="22"/>
      <x:c r="J199" s="22"/>
      <x:c r="K199" s="22"/>
      <x:c r="L199" s="22" t="str">
        <x:f>IF(OR(H199="",J199="Состоялась",J199="Отменена"),"",H199-TODAY())</x:f>
      </x:c>
    </x:row>
    <x:row r="200">
      <x:c r="A200" s="22" t="str">
        <x:f>IF(B200="","","CP-"&amp;TEXT(ROW()-2,"0000"))</x:f>
      </x:c>
      <x:c r="B200" s="22"/>
      <x:c r="C200" s="26"/>
      <x:c r="D200" s="22"/>
      <x:c r="E200" s="22"/>
      <x:c r="F200" s="22"/>
      <x:c r="G200" s="22"/>
      <x:c r="H200" s="26"/>
      <x:c r="I200" s="22"/>
      <x:c r="J200" s="22"/>
      <x:c r="K200" s="22"/>
      <x:c r="L200" s="22" t="str">
        <x:f>IF(OR(H200="",J200="Состоялась",J200="Отменена"),"",H200-TODAY())</x:f>
      </x:c>
    </x:row>
    <x:row r="201">
      <x:c r="A201" s="22" t="str">
        <x:f>IF(B201="","","CP-"&amp;TEXT(ROW()-2,"0000"))</x:f>
      </x:c>
      <x:c r="B201" s="22"/>
      <x:c r="C201" s="26"/>
      <x:c r="D201" s="22"/>
      <x:c r="E201" s="22"/>
      <x:c r="F201" s="22"/>
      <x:c r="G201" s="22"/>
      <x:c r="H201" s="26"/>
      <x:c r="I201" s="22"/>
      <x:c r="J201" s="22"/>
      <x:c r="K201" s="22"/>
      <x:c r="L201" s="22" t="str">
        <x:f>IF(OR(H201="",J201="Состоялась",J201="Отменена"),"",H201-TODAY())</x:f>
      </x:c>
    </x:row>
    <x:row r="202">
      <x:c r="A202" s="22" t="str">
        <x:f>IF(B202="","","CP-"&amp;TEXT(ROW()-2,"0000"))</x:f>
      </x:c>
      <x:c r="B202" s="22"/>
      <x:c r="C202" s="26"/>
      <x:c r="D202" s="22"/>
      <x:c r="E202" s="22"/>
      <x:c r="F202" s="22"/>
      <x:c r="G202" s="22"/>
      <x:c r="H202" s="26"/>
      <x:c r="I202" s="22"/>
      <x:c r="J202" s="22"/>
      <x:c r="K202" s="22"/>
      <x:c r="L202" s="22" t="str">
        <x:f>IF(OR(H202="",J202="Состоялась",J202="Отменена"),"",H202-TODAY())</x:f>
      </x:c>
    </x:row>
    <x:row r="203">
      <x:c r="A203" s="22" t="str">
        <x:f>IF(B203="","","CP-"&amp;TEXT(ROW()-2,"0000"))</x:f>
      </x:c>
      <x:c r="B203" s="22"/>
      <x:c r="C203" s="26"/>
      <x:c r="D203" s="22"/>
      <x:c r="E203" s="22"/>
      <x:c r="F203" s="22"/>
      <x:c r="G203" s="22"/>
      <x:c r="H203" s="26"/>
      <x:c r="I203" s="22"/>
      <x:c r="J203" s="22"/>
      <x:c r="K203" s="22"/>
      <x:c r="L203" s="22" t="str">
        <x:f>IF(OR(H203="",J203="Состоялась",J203="Отменена"),"",H203-TODAY())</x:f>
      </x:c>
    </x:row>
    <x:row r="204">
      <x:c r="A204" s="22" t="str">
        <x:f>IF(B204="","","CP-"&amp;TEXT(ROW()-2,"0000"))</x:f>
      </x:c>
      <x:c r="B204" s="22"/>
      <x:c r="C204" s="26"/>
      <x:c r="D204" s="22"/>
      <x:c r="E204" s="22"/>
      <x:c r="F204" s="22"/>
      <x:c r="G204" s="22"/>
      <x:c r="H204" s="26"/>
      <x:c r="I204" s="22"/>
      <x:c r="J204" s="22"/>
      <x:c r="K204" s="22"/>
      <x:c r="L204" s="22" t="str">
        <x:f>IF(OR(H204="",J204="Состоялась",J204="Отменена"),"",H204-TODAY())</x:f>
      </x:c>
    </x:row>
    <x:row r="205">
      <x:c r="A205" s="22" t="str">
        <x:f>IF(B205="","","CP-"&amp;TEXT(ROW()-2,"0000"))</x:f>
      </x:c>
      <x:c r="B205" s="22"/>
      <x:c r="C205" s="26"/>
      <x:c r="D205" s="22"/>
      <x:c r="E205" s="22"/>
      <x:c r="F205" s="22"/>
      <x:c r="G205" s="22"/>
      <x:c r="H205" s="26"/>
      <x:c r="I205" s="22"/>
      <x:c r="J205" s="22"/>
      <x:c r="K205" s="22"/>
      <x:c r="L205" s="22" t="str">
        <x:f>IF(OR(H205="",J205="Состоялась",J205="Отменена"),"",H205-TODAY())</x:f>
      </x:c>
    </x:row>
    <x:row r="206">
      <x:c r="A206" s="22" t="str">
        <x:f>IF(B206="","","CP-"&amp;TEXT(ROW()-2,"0000"))</x:f>
      </x:c>
      <x:c r="B206" s="22"/>
      <x:c r="C206" s="26"/>
      <x:c r="D206" s="22"/>
      <x:c r="E206" s="22"/>
      <x:c r="F206" s="22"/>
      <x:c r="G206" s="22"/>
      <x:c r="H206" s="26"/>
      <x:c r="I206" s="22"/>
      <x:c r="J206" s="22"/>
      <x:c r="K206" s="22"/>
      <x:c r="L206" s="22" t="str">
        <x:f>IF(OR(H206="",J206="Состоялась",J206="Отменена"),"",H206-TODAY())</x:f>
      </x:c>
    </x:row>
    <x:row r="207">
      <x:c r="A207" s="22" t="str">
        <x:f>IF(B207="","","CP-"&amp;TEXT(ROW()-2,"0000"))</x:f>
      </x:c>
      <x:c r="B207" s="22"/>
      <x:c r="C207" s="26"/>
      <x:c r="D207" s="22"/>
      <x:c r="E207" s="22"/>
      <x:c r="F207" s="22"/>
      <x:c r="G207" s="22"/>
      <x:c r="H207" s="26"/>
      <x:c r="I207" s="22"/>
      <x:c r="J207" s="22"/>
      <x:c r="K207" s="22"/>
      <x:c r="L207" s="22" t="str">
        <x:f>IF(OR(H207="",J207="Состоялась",J207="Отменена"),"",H207-TODAY())</x:f>
      </x:c>
    </x:row>
    <x:row r="208">
      <x:c r="A208" s="22" t="str">
        <x:f>IF(B208="","","CP-"&amp;TEXT(ROW()-2,"0000"))</x:f>
      </x:c>
      <x:c r="B208" s="22"/>
      <x:c r="C208" s="26"/>
      <x:c r="D208" s="22"/>
      <x:c r="E208" s="22"/>
      <x:c r="F208" s="22"/>
      <x:c r="G208" s="22"/>
      <x:c r="H208" s="26"/>
      <x:c r="I208" s="22"/>
      <x:c r="J208" s="22"/>
      <x:c r="K208" s="22"/>
      <x:c r="L208" s="22" t="str">
        <x:f>IF(OR(H208="",J208="Состоялась",J208="Отменена"),"",H208-TODAY())</x:f>
      </x:c>
    </x:row>
    <x:row r="209">
      <x:c r="A209" s="22" t="str">
        <x:f>IF(B209="","","CP-"&amp;TEXT(ROW()-2,"0000"))</x:f>
      </x:c>
      <x:c r="B209" s="22"/>
      <x:c r="C209" s="26"/>
      <x:c r="D209" s="22"/>
      <x:c r="E209" s="22"/>
      <x:c r="F209" s="22"/>
      <x:c r="G209" s="22"/>
      <x:c r="H209" s="26"/>
      <x:c r="I209" s="22"/>
      <x:c r="J209" s="22"/>
      <x:c r="K209" s="22"/>
      <x:c r="L209" s="22" t="str">
        <x:f>IF(OR(H209="",J209="Состоялась",J209="Отменена"),"",H209-TODAY())</x:f>
      </x:c>
    </x:row>
    <x:row r="210">
      <x:c r="A210" s="22" t="str">
        <x:f>IF(B210="","","CP-"&amp;TEXT(ROW()-2,"0000"))</x:f>
      </x:c>
      <x:c r="B210" s="22"/>
      <x:c r="C210" s="26"/>
      <x:c r="D210" s="22"/>
      <x:c r="E210" s="22"/>
      <x:c r="F210" s="22"/>
      <x:c r="G210" s="22"/>
      <x:c r="H210" s="26"/>
      <x:c r="I210" s="22"/>
      <x:c r="J210" s="22"/>
      <x:c r="K210" s="22"/>
      <x:c r="L210" s="22" t="str">
        <x:f>IF(OR(H210="",J210="Состоялась",J210="Отменена"),"",H210-TODAY())</x:f>
      </x:c>
    </x:row>
    <x:row r="211">
      <x:c r="A211" s="22" t="str">
        <x:f>IF(B211="","","CP-"&amp;TEXT(ROW()-2,"0000"))</x:f>
      </x:c>
      <x:c r="B211" s="22"/>
      <x:c r="C211" s="26"/>
      <x:c r="D211" s="22"/>
      <x:c r="E211" s="22"/>
      <x:c r="F211" s="22"/>
      <x:c r="G211" s="22"/>
      <x:c r="H211" s="26"/>
      <x:c r="I211" s="22"/>
      <x:c r="J211" s="22"/>
      <x:c r="K211" s="22"/>
      <x:c r="L211" s="22" t="str">
        <x:f>IF(OR(H211="",J211="Состоялась",J211="Отменена"),"",H211-TODAY())</x:f>
      </x:c>
    </x:row>
    <x:row r="212">
      <x:c r="A212" s="22" t="str">
        <x:f>IF(B212="","","CP-"&amp;TEXT(ROW()-2,"0000"))</x:f>
      </x:c>
      <x:c r="B212" s="22"/>
      <x:c r="C212" s="26"/>
      <x:c r="D212" s="22"/>
      <x:c r="E212" s="22"/>
      <x:c r="F212" s="22"/>
      <x:c r="G212" s="22"/>
      <x:c r="H212" s="26"/>
      <x:c r="I212" s="22"/>
      <x:c r="J212" s="22"/>
      <x:c r="K212" s="22"/>
      <x:c r="L212" s="22" t="str">
        <x:f>IF(OR(H212="",J212="Состоялась",J212="Отменена"),"",H212-TODAY())</x:f>
      </x:c>
    </x:row>
    <x:row r="213">
      <x:c r="A213" s="22" t="str">
        <x:f>IF(B213="","","CP-"&amp;TEXT(ROW()-2,"0000"))</x:f>
      </x:c>
      <x:c r="B213" s="22"/>
      <x:c r="C213" s="26"/>
      <x:c r="D213" s="22"/>
      <x:c r="E213" s="22"/>
      <x:c r="F213" s="22"/>
      <x:c r="G213" s="22"/>
      <x:c r="H213" s="26"/>
      <x:c r="I213" s="22"/>
      <x:c r="J213" s="22"/>
      <x:c r="K213" s="22"/>
      <x:c r="L213" s="22" t="str">
        <x:f>IF(OR(H213="",J213="Состоялась",J213="Отменена"),"",H213-TODAY())</x:f>
      </x:c>
    </x:row>
    <x:row r="214">
      <x:c r="A214" s="22" t="str">
        <x:f>IF(B214="","","CP-"&amp;TEXT(ROW()-2,"0000"))</x:f>
      </x:c>
      <x:c r="B214" s="22"/>
      <x:c r="C214" s="26"/>
      <x:c r="D214" s="22"/>
      <x:c r="E214" s="22"/>
      <x:c r="F214" s="22"/>
      <x:c r="G214" s="22"/>
      <x:c r="H214" s="26"/>
      <x:c r="I214" s="22"/>
      <x:c r="J214" s="22"/>
      <x:c r="K214" s="22"/>
      <x:c r="L214" s="22" t="str">
        <x:f>IF(OR(H214="",J214="Состоялась",J214="Отменена"),"",H214-TODAY())</x:f>
      </x:c>
    </x:row>
    <x:row r="215">
      <x:c r="A215" s="22" t="str">
        <x:f>IF(B215="","","CP-"&amp;TEXT(ROW()-2,"0000"))</x:f>
      </x:c>
      <x:c r="B215" s="22"/>
      <x:c r="C215" s="26"/>
      <x:c r="D215" s="22"/>
      <x:c r="E215" s="22"/>
      <x:c r="F215" s="22"/>
      <x:c r="G215" s="22"/>
      <x:c r="H215" s="26"/>
      <x:c r="I215" s="22"/>
      <x:c r="J215" s="22"/>
      <x:c r="K215" s="22"/>
      <x:c r="L215" s="22" t="str">
        <x:f>IF(OR(H215="",J215="Состоялась",J215="Отменена"),"",H215-TODAY())</x:f>
      </x:c>
    </x:row>
    <x:row r="216">
      <x:c r="A216" s="22" t="str">
        <x:f>IF(B216="","","CP-"&amp;TEXT(ROW()-2,"0000"))</x:f>
      </x:c>
      <x:c r="B216" s="22"/>
      <x:c r="C216" s="26"/>
      <x:c r="D216" s="22"/>
      <x:c r="E216" s="22"/>
      <x:c r="F216" s="22"/>
      <x:c r="G216" s="22"/>
      <x:c r="H216" s="26"/>
      <x:c r="I216" s="22"/>
      <x:c r="J216" s="22"/>
      <x:c r="K216" s="22"/>
      <x:c r="L216" s="22" t="str">
        <x:f>IF(OR(H216="",J216="Состоялась",J216="Отменена"),"",H216-TODAY())</x:f>
      </x:c>
    </x:row>
    <x:row r="217">
      <x:c r="A217" s="22" t="str">
        <x:f>IF(B217="","","CP-"&amp;TEXT(ROW()-2,"0000"))</x:f>
      </x:c>
      <x:c r="B217" s="22"/>
      <x:c r="C217" s="26"/>
      <x:c r="D217" s="22"/>
      <x:c r="E217" s="22"/>
      <x:c r="F217" s="22"/>
      <x:c r="G217" s="22"/>
      <x:c r="H217" s="26"/>
      <x:c r="I217" s="22"/>
      <x:c r="J217" s="22"/>
      <x:c r="K217" s="22"/>
      <x:c r="L217" s="22" t="str">
        <x:f>IF(OR(H217="",J217="Состоялась",J217="Отменена"),"",H217-TODAY())</x:f>
      </x:c>
    </x:row>
    <x:row r="218">
      <x:c r="A218" s="22" t="str">
        <x:f>IF(B218="","","CP-"&amp;TEXT(ROW()-2,"0000"))</x:f>
      </x:c>
      <x:c r="B218" s="22"/>
      <x:c r="C218" s="26"/>
      <x:c r="D218" s="22"/>
      <x:c r="E218" s="22"/>
      <x:c r="F218" s="22"/>
      <x:c r="G218" s="22"/>
      <x:c r="H218" s="26"/>
      <x:c r="I218" s="22"/>
      <x:c r="J218" s="22"/>
      <x:c r="K218" s="22"/>
      <x:c r="L218" s="22" t="str">
        <x:f>IF(OR(H218="",J218="Состоялась",J218="Отменена"),"",H218-TODAY())</x:f>
      </x:c>
    </x:row>
    <x:row r="219">
      <x:c r="A219" s="22" t="str">
        <x:f>IF(B219="","","CP-"&amp;TEXT(ROW()-2,"0000"))</x:f>
      </x:c>
      <x:c r="B219" s="22"/>
      <x:c r="C219" s="26"/>
      <x:c r="D219" s="22"/>
      <x:c r="E219" s="22"/>
      <x:c r="F219" s="22"/>
      <x:c r="G219" s="22"/>
      <x:c r="H219" s="26"/>
      <x:c r="I219" s="22"/>
      <x:c r="J219" s="22"/>
      <x:c r="K219" s="22"/>
      <x:c r="L219" s="22" t="str">
        <x:f>IF(OR(H219="",J219="Состоялась",J219="Отменена"),"",H219-TODAY())</x:f>
      </x:c>
    </x:row>
    <x:row r="220">
      <x:c r="A220" s="22" t="str">
        <x:f>IF(B220="","","CP-"&amp;TEXT(ROW()-2,"0000"))</x:f>
      </x:c>
      <x:c r="B220" s="22"/>
      <x:c r="C220" s="26"/>
      <x:c r="D220" s="22"/>
      <x:c r="E220" s="22"/>
      <x:c r="F220" s="22"/>
      <x:c r="G220" s="22"/>
      <x:c r="H220" s="26"/>
      <x:c r="I220" s="22"/>
      <x:c r="J220" s="22"/>
      <x:c r="K220" s="22"/>
      <x:c r="L220" s="22" t="str">
        <x:f>IF(OR(H220="",J220="Состоялась",J220="Отменена"),"",H220-TODAY())</x:f>
      </x:c>
    </x:row>
    <x:row r="221">
      <x:c r="A221" s="22" t="str">
        <x:f>IF(B221="","","CP-"&amp;TEXT(ROW()-2,"0000"))</x:f>
      </x:c>
      <x:c r="B221" s="22"/>
      <x:c r="C221" s="26"/>
      <x:c r="D221" s="22"/>
      <x:c r="E221" s="22"/>
      <x:c r="F221" s="22"/>
      <x:c r="G221" s="22"/>
      <x:c r="H221" s="26"/>
      <x:c r="I221" s="22"/>
      <x:c r="J221" s="22"/>
      <x:c r="K221" s="22"/>
      <x:c r="L221" s="22" t="str">
        <x:f>IF(OR(H221="",J221="Состоялась",J221="Отменена"),"",H221-TODAY())</x:f>
      </x:c>
    </x:row>
    <x:row r="222">
      <x:c r="A222" s="22" t="str">
        <x:f>IF(B222="","","CP-"&amp;TEXT(ROW()-2,"0000"))</x:f>
      </x:c>
      <x:c r="B222" s="22"/>
      <x:c r="C222" s="26"/>
      <x:c r="D222" s="22"/>
      <x:c r="E222" s="22"/>
      <x:c r="F222" s="22"/>
      <x:c r="G222" s="22"/>
      <x:c r="H222" s="26"/>
      <x:c r="I222" s="22"/>
      <x:c r="J222" s="22"/>
      <x:c r="K222" s="22"/>
      <x:c r="L222" s="22" t="str">
        <x:f>IF(OR(H222="",J222="Состоялась",J222="Отменена"),"",H222-TODAY())</x:f>
      </x:c>
    </x:row>
    <x:row r="223">
      <x:c r="A223" s="22" t="str">
        <x:f>IF(B223="","","CP-"&amp;TEXT(ROW()-2,"0000"))</x:f>
      </x:c>
      <x:c r="B223" s="22"/>
      <x:c r="C223" s="26"/>
      <x:c r="D223" s="22"/>
      <x:c r="E223" s="22"/>
      <x:c r="F223" s="22"/>
      <x:c r="G223" s="22"/>
      <x:c r="H223" s="26"/>
      <x:c r="I223" s="22"/>
      <x:c r="J223" s="22"/>
      <x:c r="K223" s="22"/>
      <x:c r="L223" s="22" t="str">
        <x:f>IF(OR(H223="",J223="Состоялась",J223="Отменена"),"",H223-TODAY())</x:f>
      </x:c>
    </x:row>
    <x:row r="224">
      <x:c r="A224" s="22" t="str">
        <x:f>IF(B224="","","CP-"&amp;TEXT(ROW()-2,"0000"))</x:f>
      </x:c>
      <x:c r="B224" s="22"/>
      <x:c r="C224" s="26"/>
      <x:c r="D224" s="22"/>
      <x:c r="E224" s="22"/>
      <x:c r="F224" s="22"/>
      <x:c r="G224" s="22"/>
      <x:c r="H224" s="26"/>
      <x:c r="I224" s="22"/>
      <x:c r="J224" s="22"/>
      <x:c r="K224" s="22"/>
      <x:c r="L224" s="22" t="str">
        <x:f>IF(OR(H224="",J224="Состоялась",J224="Отменена"),"",H224-TODAY())</x:f>
      </x:c>
    </x:row>
    <x:row r="225">
      <x:c r="A225" s="22" t="str">
        <x:f>IF(B225="","","CP-"&amp;TEXT(ROW()-2,"0000"))</x:f>
      </x:c>
      <x:c r="B225" s="22"/>
      <x:c r="C225" s="26"/>
      <x:c r="D225" s="22"/>
      <x:c r="E225" s="22"/>
      <x:c r="F225" s="22"/>
      <x:c r="G225" s="22"/>
      <x:c r="H225" s="26"/>
      <x:c r="I225" s="22"/>
      <x:c r="J225" s="22"/>
      <x:c r="K225" s="22"/>
      <x:c r="L225" s="22" t="str">
        <x:f>IF(OR(H225="",J225="Состоялась",J225="Отменена"),"",H225-TODAY())</x:f>
      </x:c>
    </x:row>
    <x:row r="226">
      <x:c r="A226" s="22" t="str">
        <x:f>IF(B226="","","CP-"&amp;TEXT(ROW()-2,"0000"))</x:f>
      </x:c>
      <x:c r="B226" s="22"/>
      <x:c r="C226" s="26"/>
      <x:c r="D226" s="22"/>
      <x:c r="E226" s="22"/>
      <x:c r="F226" s="22"/>
      <x:c r="G226" s="22"/>
      <x:c r="H226" s="26"/>
      <x:c r="I226" s="22"/>
      <x:c r="J226" s="22"/>
      <x:c r="K226" s="22"/>
      <x:c r="L226" s="22" t="str">
        <x:f>IF(OR(H226="",J226="Состоялась",J226="Отменена"),"",H226-TODAY())</x:f>
      </x:c>
    </x:row>
    <x:row r="227">
      <x:c r="A227" s="22" t="str">
        <x:f>IF(B227="","","CP-"&amp;TEXT(ROW()-2,"0000"))</x:f>
      </x:c>
      <x:c r="B227" s="22"/>
      <x:c r="C227" s="26"/>
      <x:c r="D227" s="22"/>
      <x:c r="E227" s="22"/>
      <x:c r="F227" s="22"/>
      <x:c r="G227" s="22"/>
      <x:c r="H227" s="26"/>
      <x:c r="I227" s="22"/>
      <x:c r="J227" s="22"/>
      <x:c r="K227" s="22"/>
      <x:c r="L227" s="22" t="str">
        <x:f>IF(OR(H227="",J227="Состоялась",J227="Отменена"),"",H227-TODAY())</x:f>
      </x:c>
    </x:row>
    <x:row r="228">
      <x:c r="A228" s="22" t="str">
        <x:f>IF(B228="","","CP-"&amp;TEXT(ROW()-2,"0000"))</x:f>
      </x:c>
      <x:c r="B228" s="22"/>
      <x:c r="C228" s="26"/>
      <x:c r="D228" s="22"/>
      <x:c r="E228" s="22"/>
      <x:c r="F228" s="22"/>
      <x:c r="G228" s="22"/>
      <x:c r="H228" s="26"/>
      <x:c r="I228" s="22"/>
      <x:c r="J228" s="22"/>
      <x:c r="K228" s="22"/>
      <x:c r="L228" s="22" t="str">
        <x:f>IF(OR(H228="",J228="Состоялась",J228="Отменена"),"",H228-TODAY())</x:f>
      </x:c>
    </x:row>
    <x:row r="229">
      <x:c r="A229" s="22" t="str">
        <x:f>IF(B229="","","CP-"&amp;TEXT(ROW()-2,"0000"))</x:f>
      </x:c>
      <x:c r="B229" s="22"/>
      <x:c r="C229" s="26"/>
      <x:c r="D229" s="22"/>
      <x:c r="E229" s="22"/>
      <x:c r="F229" s="22"/>
      <x:c r="G229" s="22"/>
      <x:c r="H229" s="26"/>
      <x:c r="I229" s="22"/>
      <x:c r="J229" s="22"/>
      <x:c r="K229" s="22"/>
      <x:c r="L229" s="22" t="str">
        <x:f>IF(OR(H229="",J229="Состоялась",J229="Отменена"),"",H229-TODAY())</x:f>
      </x:c>
    </x:row>
    <x:row r="230">
      <x:c r="A230" s="22" t="str">
        <x:f>IF(B230="","","CP-"&amp;TEXT(ROW()-2,"0000"))</x:f>
      </x:c>
      <x:c r="B230" s="22"/>
      <x:c r="C230" s="26"/>
      <x:c r="D230" s="22"/>
      <x:c r="E230" s="22"/>
      <x:c r="F230" s="22"/>
      <x:c r="G230" s="22"/>
      <x:c r="H230" s="26"/>
      <x:c r="I230" s="22"/>
      <x:c r="J230" s="22"/>
      <x:c r="K230" s="22"/>
      <x:c r="L230" s="22" t="str">
        <x:f>IF(OR(H230="",J230="Состоялась",J230="Отменена"),"",H230-TODAY())</x:f>
      </x:c>
    </x:row>
    <x:row r="231">
      <x:c r="A231" s="22" t="str">
        <x:f>IF(B231="","","CP-"&amp;TEXT(ROW()-2,"0000"))</x:f>
      </x:c>
      <x:c r="B231" s="22"/>
      <x:c r="C231" s="26"/>
      <x:c r="D231" s="22"/>
      <x:c r="E231" s="22"/>
      <x:c r="F231" s="22"/>
      <x:c r="G231" s="22"/>
      <x:c r="H231" s="26"/>
      <x:c r="I231" s="22"/>
      <x:c r="J231" s="22"/>
      <x:c r="K231" s="22"/>
      <x:c r="L231" s="22" t="str">
        <x:f>IF(OR(H231="",J231="Состоялась",J231="Отменена"),"",H231-TODAY())</x:f>
      </x:c>
    </x:row>
    <x:row r="232">
      <x:c r="A232" s="22" t="str">
        <x:f>IF(B232="","","CP-"&amp;TEXT(ROW()-2,"0000"))</x:f>
      </x:c>
      <x:c r="B232" s="22"/>
      <x:c r="C232" s="26"/>
      <x:c r="D232" s="22"/>
      <x:c r="E232" s="22"/>
      <x:c r="F232" s="22"/>
      <x:c r="G232" s="22"/>
      <x:c r="H232" s="26"/>
      <x:c r="I232" s="22"/>
      <x:c r="J232" s="22"/>
      <x:c r="K232" s="22"/>
      <x:c r="L232" s="22" t="str">
        <x:f>IF(OR(H232="",J232="Состоялась",J232="Отменена"),"",H232-TODAY())</x:f>
      </x:c>
    </x:row>
    <x:row r="233">
      <x:c r="A233" s="22" t="str">
        <x:f>IF(B233="","","CP-"&amp;TEXT(ROW()-2,"0000"))</x:f>
      </x:c>
      <x:c r="B233" s="22"/>
      <x:c r="C233" s="26"/>
      <x:c r="D233" s="22"/>
      <x:c r="E233" s="22"/>
      <x:c r="F233" s="22"/>
      <x:c r="G233" s="22"/>
      <x:c r="H233" s="26"/>
      <x:c r="I233" s="22"/>
      <x:c r="J233" s="22"/>
      <x:c r="K233" s="22"/>
      <x:c r="L233" s="22" t="str">
        <x:f>IF(OR(H233="",J233="Состоялась",J233="Отменена"),"",H233-TODAY())</x:f>
      </x:c>
    </x:row>
    <x:row r="234">
      <x:c r="A234" s="22" t="str">
        <x:f>IF(B234="","","CP-"&amp;TEXT(ROW()-2,"0000"))</x:f>
      </x:c>
      <x:c r="B234" s="22"/>
      <x:c r="C234" s="26"/>
      <x:c r="D234" s="22"/>
      <x:c r="E234" s="22"/>
      <x:c r="F234" s="22"/>
      <x:c r="G234" s="22"/>
      <x:c r="H234" s="26"/>
      <x:c r="I234" s="22"/>
      <x:c r="J234" s="22"/>
      <x:c r="K234" s="22"/>
      <x:c r="L234" s="22" t="str">
        <x:f>IF(OR(H234="",J234="Состоялась",J234="Отменена"),"",H234-TODAY())</x:f>
      </x:c>
    </x:row>
    <x:row r="235">
      <x:c r="A235" s="22" t="str">
        <x:f>IF(B235="","","CP-"&amp;TEXT(ROW()-2,"0000"))</x:f>
      </x:c>
      <x:c r="B235" s="22"/>
      <x:c r="C235" s="26"/>
      <x:c r="D235" s="22"/>
      <x:c r="E235" s="22"/>
      <x:c r="F235" s="22"/>
      <x:c r="G235" s="22"/>
      <x:c r="H235" s="26"/>
      <x:c r="I235" s="22"/>
      <x:c r="J235" s="22"/>
      <x:c r="K235" s="22"/>
      <x:c r="L235" s="22" t="str">
        <x:f>IF(OR(H235="",J235="Состоялась",J235="Отменена"),"",H235-TODAY())</x:f>
      </x:c>
    </x:row>
    <x:row r="236">
      <x:c r="A236" s="22" t="str">
        <x:f>IF(B236="","","CP-"&amp;TEXT(ROW()-2,"0000"))</x:f>
      </x:c>
      <x:c r="B236" s="22"/>
      <x:c r="C236" s="26"/>
      <x:c r="D236" s="22"/>
      <x:c r="E236" s="22"/>
      <x:c r="F236" s="22"/>
      <x:c r="G236" s="22"/>
      <x:c r="H236" s="26"/>
      <x:c r="I236" s="22"/>
      <x:c r="J236" s="22"/>
      <x:c r="K236" s="22"/>
      <x:c r="L236" s="22" t="str">
        <x:f>IF(OR(H236="",J236="Состоялась",J236="Отменена"),"",H236-TODAY())</x:f>
      </x:c>
    </x:row>
    <x:row r="237">
      <x:c r="A237" s="22" t="str">
        <x:f>IF(B237="","","CP-"&amp;TEXT(ROW()-2,"0000"))</x:f>
      </x:c>
      <x:c r="B237" s="22"/>
      <x:c r="C237" s="26"/>
      <x:c r="D237" s="22"/>
      <x:c r="E237" s="22"/>
      <x:c r="F237" s="22"/>
      <x:c r="G237" s="22"/>
      <x:c r="H237" s="26"/>
      <x:c r="I237" s="22"/>
      <x:c r="J237" s="22"/>
      <x:c r="K237" s="22"/>
      <x:c r="L237" s="22" t="str">
        <x:f>IF(OR(H237="",J237="Состоялась",J237="Отменена"),"",H237-TODAY())</x:f>
      </x:c>
    </x:row>
    <x:row r="238">
      <x:c r="A238" s="22" t="str">
        <x:f>IF(B238="","","CP-"&amp;TEXT(ROW()-2,"0000"))</x:f>
      </x:c>
      <x:c r="B238" s="22"/>
      <x:c r="C238" s="26"/>
      <x:c r="D238" s="22"/>
      <x:c r="E238" s="22"/>
      <x:c r="F238" s="22"/>
      <x:c r="G238" s="22"/>
      <x:c r="H238" s="26"/>
      <x:c r="I238" s="22"/>
      <x:c r="J238" s="22"/>
      <x:c r="K238" s="22"/>
      <x:c r="L238" s="22" t="str">
        <x:f>IF(OR(H238="",J238="Состоялась",J238="Отменена"),"",H238-TODAY())</x:f>
      </x:c>
    </x:row>
    <x:row r="239">
      <x:c r="A239" s="22" t="str">
        <x:f>IF(B239="","","CP-"&amp;TEXT(ROW()-2,"0000"))</x:f>
      </x:c>
      <x:c r="B239" s="22"/>
      <x:c r="C239" s="26"/>
      <x:c r="D239" s="22"/>
      <x:c r="E239" s="22"/>
      <x:c r="F239" s="22"/>
      <x:c r="G239" s="22"/>
      <x:c r="H239" s="26"/>
      <x:c r="I239" s="22"/>
      <x:c r="J239" s="22"/>
      <x:c r="K239" s="22"/>
      <x:c r="L239" s="22" t="str">
        <x:f>IF(OR(H239="",J239="Состоялась",J239="Отменена"),"",H239-TODAY())</x:f>
      </x:c>
    </x:row>
    <x:row r="240">
      <x:c r="A240" s="22" t="str">
        <x:f>IF(B240="","","CP-"&amp;TEXT(ROW()-2,"0000"))</x:f>
      </x:c>
      <x:c r="B240" s="22"/>
      <x:c r="C240" s="26"/>
      <x:c r="D240" s="22"/>
      <x:c r="E240" s="22"/>
      <x:c r="F240" s="22"/>
      <x:c r="G240" s="22"/>
      <x:c r="H240" s="26"/>
      <x:c r="I240" s="22"/>
      <x:c r="J240" s="22"/>
      <x:c r="K240" s="22"/>
      <x:c r="L240" s="22" t="str">
        <x:f>IF(OR(H240="",J240="Состоялась",J240="Отменена"),"",H240-TODAY())</x:f>
      </x:c>
    </x:row>
    <x:row r="241">
      <x:c r="A241" s="22" t="str">
        <x:f>IF(B241="","","CP-"&amp;TEXT(ROW()-2,"0000"))</x:f>
      </x:c>
      <x:c r="B241" s="22"/>
      <x:c r="C241" s="26"/>
      <x:c r="D241" s="22"/>
      <x:c r="E241" s="22"/>
      <x:c r="F241" s="22"/>
      <x:c r="G241" s="22"/>
      <x:c r="H241" s="26"/>
      <x:c r="I241" s="22"/>
      <x:c r="J241" s="22"/>
      <x:c r="K241" s="22"/>
      <x:c r="L241" s="22" t="str">
        <x:f>IF(OR(H241="",J241="Состоялась",J241="Отменена"),"",H241-TODAY())</x:f>
      </x:c>
    </x:row>
    <x:row r="242">
      <x:c r="A242" s="22" t="str">
        <x:f>IF(B242="","","CP-"&amp;TEXT(ROW()-2,"0000"))</x:f>
      </x:c>
      <x:c r="B242" s="22"/>
      <x:c r="C242" s="26"/>
      <x:c r="D242" s="22"/>
      <x:c r="E242" s="22"/>
      <x:c r="F242" s="22"/>
      <x:c r="G242" s="22"/>
      <x:c r="H242" s="26"/>
      <x:c r="I242" s="22"/>
      <x:c r="J242" s="22"/>
      <x:c r="K242" s="22"/>
      <x:c r="L242" s="22" t="str">
        <x:f>IF(OR(H242="",J242="Состоялась",J242="Отменена"),"",H242-TODAY())</x:f>
      </x:c>
    </x:row>
    <x:row r="243">
      <x:c r="A243" s="22" t="str">
        <x:f>IF(B243="","","CP-"&amp;TEXT(ROW()-2,"0000"))</x:f>
      </x:c>
      <x:c r="B243" s="22"/>
      <x:c r="C243" s="26"/>
      <x:c r="D243" s="22"/>
      <x:c r="E243" s="22"/>
      <x:c r="F243" s="22"/>
      <x:c r="G243" s="22"/>
      <x:c r="H243" s="26"/>
      <x:c r="I243" s="22"/>
      <x:c r="J243" s="22"/>
      <x:c r="K243" s="22"/>
      <x:c r="L243" s="22" t="str">
        <x:f>IF(OR(H243="",J243="Состоялась",J243="Отменена"),"",H243-TODAY())</x:f>
      </x:c>
    </x:row>
    <x:row r="244">
      <x:c r="A244" s="22" t="str">
        <x:f>IF(B244="","","CP-"&amp;TEXT(ROW()-2,"0000"))</x:f>
      </x:c>
      <x:c r="B244" s="22"/>
      <x:c r="C244" s="26"/>
      <x:c r="D244" s="22"/>
      <x:c r="E244" s="22"/>
      <x:c r="F244" s="22"/>
      <x:c r="G244" s="22"/>
      <x:c r="H244" s="26"/>
      <x:c r="I244" s="22"/>
      <x:c r="J244" s="22"/>
      <x:c r="K244" s="22"/>
      <x:c r="L244" s="22" t="str">
        <x:f>IF(OR(H244="",J244="Состоялась",J244="Отменена"),"",H244-TODAY())</x:f>
      </x:c>
    </x:row>
    <x:row r="245">
      <x:c r="A245" s="22" t="str">
        <x:f>IF(B245="","","CP-"&amp;TEXT(ROW()-2,"0000"))</x:f>
      </x:c>
      <x:c r="B245" s="22"/>
      <x:c r="C245" s="26"/>
      <x:c r="D245" s="22"/>
      <x:c r="E245" s="22"/>
      <x:c r="F245" s="22"/>
      <x:c r="G245" s="22"/>
      <x:c r="H245" s="26"/>
      <x:c r="I245" s="22"/>
      <x:c r="J245" s="22"/>
      <x:c r="K245" s="22"/>
      <x:c r="L245" s="22" t="str">
        <x:f>IF(OR(H245="",J245="Состоялась",J245="Отменена"),"",H245-TODAY())</x:f>
      </x:c>
    </x:row>
    <x:row r="246">
      <x:c r="A246" s="22" t="str">
        <x:f>IF(B246="","","CP-"&amp;TEXT(ROW()-2,"0000"))</x:f>
      </x:c>
      <x:c r="B246" s="22"/>
      <x:c r="C246" s="26"/>
      <x:c r="D246" s="22"/>
      <x:c r="E246" s="22"/>
      <x:c r="F246" s="22"/>
      <x:c r="G246" s="22"/>
      <x:c r="H246" s="26"/>
      <x:c r="I246" s="22"/>
      <x:c r="J246" s="22"/>
      <x:c r="K246" s="22"/>
      <x:c r="L246" s="22" t="str">
        <x:f>IF(OR(H246="",J246="Состоялась",J246="Отменена"),"",H246-TODAY())</x:f>
      </x:c>
    </x:row>
    <x:row r="247">
      <x:c r="A247" s="22" t="str">
        <x:f>IF(B247="","","CP-"&amp;TEXT(ROW()-2,"0000"))</x:f>
      </x:c>
      <x:c r="B247" s="22"/>
      <x:c r="C247" s="26"/>
      <x:c r="D247" s="22"/>
      <x:c r="E247" s="22"/>
      <x:c r="F247" s="22"/>
      <x:c r="G247" s="22"/>
      <x:c r="H247" s="26"/>
      <x:c r="I247" s="22"/>
      <x:c r="J247" s="22"/>
      <x:c r="K247" s="22"/>
      <x:c r="L247" s="22" t="str">
        <x:f>IF(OR(H247="",J247="Состоялась",J247="Отменена"),"",H247-TODAY())</x:f>
      </x:c>
    </x:row>
    <x:row r="248">
      <x:c r="A248" s="22" t="str">
        <x:f>IF(B248="","","CP-"&amp;TEXT(ROW()-2,"0000"))</x:f>
      </x:c>
      <x:c r="B248" s="22"/>
      <x:c r="C248" s="26"/>
      <x:c r="D248" s="22"/>
      <x:c r="E248" s="22"/>
      <x:c r="F248" s="22"/>
      <x:c r="G248" s="22"/>
      <x:c r="H248" s="26"/>
      <x:c r="I248" s="22"/>
      <x:c r="J248" s="22"/>
      <x:c r="K248" s="22"/>
      <x:c r="L248" s="22" t="str">
        <x:f>IF(OR(H248="",J248="Состоялась",J248="Отменена"),"",H248-TODAY())</x:f>
      </x:c>
    </x:row>
    <x:row r="249">
      <x:c r="A249" s="22" t="str">
        <x:f>IF(B249="","","CP-"&amp;TEXT(ROW()-2,"0000"))</x:f>
      </x:c>
      <x:c r="B249" s="22"/>
      <x:c r="C249" s="26"/>
      <x:c r="D249" s="22"/>
      <x:c r="E249" s="22"/>
      <x:c r="F249" s="22"/>
      <x:c r="G249" s="22"/>
      <x:c r="H249" s="26"/>
      <x:c r="I249" s="22"/>
      <x:c r="J249" s="22"/>
      <x:c r="K249" s="22"/>
      <x:c r="L249" s="22" t="str">
        <x:f>IF(OR(H249="",J249="Состоялась",J249="Отменена"),"",H249-TODAY())</x:f>
      </x:c>
    </x:row>
    <x:row r="250">
      <x:c r="A250" s="22" t="str">
        <x:f>IF(B250="","","CP-"&amp;TEXT(ROW()-2,"0000"))</x:f>
      </x:c>
      <x:c r="B250" s="22"/>
      <x:c r="C250" s="26"/>
      <x:c r="D250" s="22"/>
      <x:c r="E250" s="22"/>
      <x:c r="F250" s="22"/>
      <x:c r="G250" s="22"/>
      <x:c r="H250" s="26"/>
      <x:c r="I250" s="22"/>
      <x:c r="J250" s="22"/>
      <x:c r="K250" s="22"/>
      <x:c r="L250" s="22" t="str">
        <x:f>IF(OR(H250="",J250="Состоялась",J250="Отменена"),"",H250-TODAY())</x:f>
      </x:c>
    </x:row>
    <x:row r="251">
      <x:c r="A251" s="22" t="str">
        <x:f>IF(B251="","","CP-"&amp;TEXT(ROW()-2,"0000"))</x:f>
      </x:c>
      <x:c r="B251" s="22"/>
      <x:c r="C251" s="26"/>
      <x:c r="D251" s="22"/>
      <x:c r="E251" s="22"/>
      <x:c r="F251" s="22"/>
      <x:c r="G251" s="22"/>
      <x:c r="H251" s="26"/>
      <x:c r="I251" s="22"/>
      <x:c r="J251" s="22"/>
      <x:c r="K251" s="22"/>
      <x:c r="L251" s="22" t="str">
        <x:f>IF(OR(H251="",J251="Состоялась",J251="Отменена"),"",H251-TODAY())</x:f>
      </x:c>
    </x:row>
    <x:row r="252">
      <x:c r="A252" s="22" t="str">
        <x:f>IF(B252="","","CP-"&amp;TEXT(ROW()-2,"0000"))</x:f>
      </x:c>
      <x:c r="B252" s="22"/>
      <x:c r="C252" s="26"/>
      <x:c r="D252" s="22"/>
      <x:c r="E252" s="22"/>
      <x:c r="F252" s="22"/>
      <x:c r="G252" s="22"/>
      <x:c r="H252" s="26"/>
      <x:c r="I252" s="22"/>
      <x:c r="J252" s="22"/>
      <x:c r="K252" s="22"/>
      <x:c r="L252" s="22" t="str">
        <x:f>IF(OR(H252="",J252="Состоялась",J252="Отменена"),"",H252-TODAY())</x:f>
      </x:c>
    </x:row>
    <x:row r="253">
      <x:c r="A253" s="22" t="str">
        <x:f>IF(B253="","","CP-"&amp;TEXT(ROW()-2,"0000"))</x:f>
      </x:c>
      <x:c r="B253" s="22"/>
      <x:c r="C253" s="26"/>
      <x:c r="D253" s="22"/>
      <x:c r="E253" s="22"/>
      <x:c r="F253" s="22"/>
      <x:c r="G253" s="22"/>
      <x:c r="H253" s="26"/>
      <x:c r="I253" s="22"/>
      <x:c r="J253" s="22"/>
      <x:c r="K253" s="22"/>
      <x:c r="L253" s="22" t="str">
        <x:f>IF(OR(H253="",J253="Состоялась",J253="Отменена"),"",H253-TODAY())</x:f>
      </x:c>
    </x:row>
    <x:row r="254">
      <x:c r="A254" s="22" t="str">
        <x:f>IF(B254="","","CP-"&amp;TEXT(ROW()-2,"0000"))</x:f>
      </x:c>
      <x:c r="B254" s="22"/>
      <x:c r="C254" s="26"/>
      <x:c r="D254" s="22"/>
      <x:c r="E254" s="22"/>
      <x:c r="F254" s="22"/>
      <x:c r="G254" s="22"/>
      <x:c r="H254" s="26"/>
      <x:c r="I254" s="22"/>
      <x:c r="J254" s="22"/>
      <x:c r="K254" s="22"/>
      <x:c r="L254" s="22" t="str">
        <x:f>IF(OR(H254="",J254="Состоялась",J254="Отменена"),"",H254-TODAY())</x:f>
      </x:c>
    </x:row>
    <x:row r="255">
      <x:c r="A255" s="22" t="str">
        <x:f>IF(B255="","","CP-"&amp;TEXT(ROW()-2,"0000"))</x:f>
      </x:c>
      <x:c r="B255" s="22"/>
      <x:c r="C255" s="26"/>
      <x:c r="D255" s="22"/>
      <x:c r="E255" s="22"/>
      <x:c r="F255" s="22"/>
      <x:c r="G255" s="22"/>
      <x:c r="H255" s="26"/>
      <x:c r="I255" s="22"/>
      <x:c r="J255" s="22"/>
      <x:c r="K255" s="22"/>
      <x:c r="L255" s="22" t="str">
        <x:f>IF(OR(H255="",J255="Состоялась",J255="Отменена"),"",H255-TODAY())</x:f>
      </x:c>
    </x:row>
    <x:row r="256">
      <x:c r="A256" s="22" t="str">
        <x:f>IF(B256="","","CP-"&amp;TEXT(ROW()-2,"0000"))</x:f>
      </x:c>
      <x:c r="B256" s="22"/>
      <x:c r="C256" s="26"/>
      <x:c r="D256" s="22"/>
      <x:c r="E256" s="22"/>
      <x:c r="F256" s="22"/>
      <x:c r="G256" s="22"/>
      <x:c r="H256" s="26"/>
      <x:c r="I256" s="22"/>
      <x:c r="J256" s="22"/>
      <x:c r="K256" s="22"/>
      <x:c r="L256" s="22" t="str">
        <x:f>IF(OR(H256="",J256="Состоялась",J256="Отменена"),"",H256-TODAY())</x:f>
      </x:c>
    </x:row>
    <x:row r="257">
      <x:c r="A257" s="22" t="str">
        <x:f>IF(B257="","","CP-"&amp;TEXT(ROW()-2,"0000"))</x:f>
      </x:c>
      <x:c r="B257" s="22"/>
      <x:c r="C257" s="26"/>
      <x:c r="D257" s="22"/>
      <x:c r="E257" s="22"/>
      <x:c r="F257" s="22"/>
      <x:c r="G257" s="22"/>
      <x:c r="H257" s="26"/>
      <x:c r="I257" s="22"/>
      <x:c r="J257" s="22"/>
      <x:c r="K257" s="22"/>
      <x:c r="L257" s="22" t="str">
        <x:f>IF(OR(H257="",J257="Состоялась",J257="Отменена"),"",H257-TODAY())</x:f>
      </x:c>
    </x:row>
    <x:row r="258">
      <x:c r="A258" s="22" t="str">
        <x:f>IF(B258="","","CP-"&amp;TEXT(ROW()-2,"0000"))</x:f>
      </x:c>
      <x:c r="B258" s="22"/>
      <x:c r="C258" s="26"/>
      <x:c r="D258" s="22"/>
      <x:c r="E258" s="22"/>
      <x:c r="F258" s="22"/>
      <x:c r="G258" s="22"/>
      <x:c r="H258" s="26"/>
      <x:c r="I258" s="22"/>
      <x:c r="J258" s="22"/>
      <x:c r="K258" s="22"/>
      <x:c r="L258" s="22" t="str">
        <x:f>IF(OR(H258="",J258="Состоялась",J258="Отменена"),"",H258-TODAY())</x:f>
      </x:c>
    </x:row>
    <x:row r="259">
      <x:c r="A259" s="22" t="str">
        <x:f>IF(B259="","","CP-"&amp;TEXT(ROW()-2,"0000"))</x:f>
      </x:c>
      <x:c r="B259" s="22"/>
      <x:c r="C259" s="26"/>
      <x:c r="D259" s="22"/>
      <x:c r="E259" s="22"/>
      <x:c r="F259" s="22"/>
      <x:c r="G259" s="22"/>
      <x:c r="H259" s="26"/>
      <x:c r="I259" s="22"/>
      <x:c r="J259" s="22"/>
      <x:c r="K259" s="22"/>
      <x:c r="L259" s="22" t="str">
        <x:f>IF(OR(H259="",J259="Состоялась",J259="Отменена"),"",H259-TODAY())</x:f>
      </x:c>
    </x:row>
    <x:row r="260">
      <x:c r="A260" s="22" t="str">
        <x:f>IF(B260="","","CP-"&amp;TEXT(ROW()-2,"0000"))</x:f>
      </x:c>
      <x:c r="B260" s="22"/>
      <x:c r="C260" s="26"/>
      <x:c r="D260" s="22"/>
      <x:c r="E260" s="22"/>
      <x:c r="F260" s="22"/>
      <x:c r="G260" s="22"/>
      <x:c r="H260" s="26"/>
      <x:c r="I260" s="22"/>
      <x:c r="J260" s="22"/>
      <x:c r="K260" s="22"/>
      <x:c r="L260" s="22" t="str">
        <x:f>IF(OR(H260="",J260="Состоялась",J260="Отменена"),"",H260-TODAY())</x:f>
      </x:c>
    </x:row>
    <x:row r="261">
      <x:c r="A261" s="22" t="str">
        <x:f>IF(B261="","","CP-"&amp;TEXT(ROW()-2,"0000"))</x:f>
      </x:c>
      <x:c r="B261" s="22"/>
      <x:c r="C261" s="26"/>
      <x:c r="D261" s="22"/>
      <x:c r="E261" s="22"/>
      <x:c r="F261" s="22"/>
      <x:c r="G261" s="22"/>
      <x:c r="H261" s="26"/>
      <x:c r="I261" s="22"/>
      <x:c r="J261" s="22"/>
      <x:c r="K261" s="22"/>
      <x:c r="L261" s="22" t="str">
        <x:f>IF(OR(H261="",J261="Состоялась",J261="Отменена"),"",H261-TODAY())</x:f>
      </x:c>
    </x:row>
    <x:row r="262">
      <x:c r="A262" s="22" t="str">
        <x:f>IF(B262="","","CP-"&amp;TEXT(ROW()-2,"0000"))</x:f>
      </x:c>
      <x:c r="B262" s="22"/>
      <x:c r="C262" s="26"/>
      <x:c r="D262" s="22"/>
      <x:c r="E262" s="22"/>
      <x:c r="F262" s="22"/>
      <x:c r="G262" s="22"/>
      <x:c r="H262" s="26"/>
      <x:c r="I262" s="22"/>
      <x:c r="J262" s="22"/>
      <x:c r="K262" s="22"/>
      <x:c r="L262" s="22" t="str">
        <x:f>IF(OR(H262="",J262="Состоялась",J262="Отменена"),"",H262-TODAY())</x:f>
      </x:c>
    </x:row>
    <x:row r="263">
      <x:c r="A263" s="22" t="str">
        <x:f>IF(B263="","","CP-"&amp;TEXT(ROW()-2,"0000"))</x:f>
      </x:c>
      <x:c r="B263" s="22"/>
      <x:c r="C263" s="26"/>
      <x:c r="D263" s="22"/>
      <x:c r="E263" s="22"/>
      <x:c r="F263" s="22"/>
      <x:c r="G263" s="22"/>
      <x:c r="H263" s="26"/>
      <x:c r="I263" s="22"/>
      <x:c r="J263" s="22"/>
      <x:c r="K263" s="22"/>
      <x:c r="L263" s="22" t="str">
        <x:f>IF(OR(H263="",J263="Состоялась",J263="Отменена"),"",H263-TODAY())</x:f>
      </x:c>
    </x:row>
    <x:row r="264">
      <x:c r="A264" s="22" t="str">
        <x:f>IF(B264="","","CP-"&amp;TEXT(ROW()-2,"0000"))</x:f>
      </x:c>
      <x:c r="B264" s="22"/>
      <x:c r="C264" s="26"/>
      <x:c r="D264" s="22"/>
      <x:c r="E264" s="22"/>
      <x:c r="F264" s="22"/>
      <x:c r="G264" s="22"/>
      <x:c r="H264" s="26"/>
      <x:c r="I264" s="22"/>
      <x:c r="J264" s="22"/>
      <x:c r="K264" s="22"/>
      <x:c r="L264" s="22" t="str">
        <x:f>IF(OR(H264="",J264="Состоялась",J264="Отменена"),"",H264-TODAY())</x:f>
      </x:c>
    </x:row>
    <x:row r="265">
      <x:c r="A265" s="22" t="str">
        <x:f>IF(B265="","","CP-"&amp;TEXT(ROW()-2,"0000"))</x:f>
      </x:c>
      <x:c r="B265" s="22"/>
      <x:c r="C265" s="26"/>
      <x:c r="D265" s="22"/>
      <x:c r="E265" s="22"/>
      <x:c r="F265" s="22"/>
      <x:c r="G265" s="22"/>
      <x:c r="H265" s="26"/>
      <x:c r="I265" s="22"/>
      <x:c r="J265" s="22"/>
      <x:c r="K265" s="22"/>
      <x:c r="L265" s="22" t="str">
        <x:f>IF(OR(H265="",J265="Состоялась",J265="Отменена"),"",H265-TODAY())</x:f>
      </x:c>
    </x:row>
    <x:row r="266">
      <x:c r="A266" s="22" t="str">
        <x:f>IF(B266="","","CP-"&amp;TEXT(ROW()-2,"0000"))</x:f>
      </x:c>
      <x:c r="B266" s="22"/>
      <x:c r="C266" s="26"/>
      <x:c r="D266" s="22"/>
      <x:c r="E266" s="22"/>
      <x:c r="F266" s="22"/>
      <x:c r="G266" s="22"/>
      <x:c r="H266" s="26"/>
      <x:c r="I266" s="22"/>
      <x:c r="J266" s="22"/>
      <x:c r="K266" s="22"/>
      <x:c r="L266" s="22" t="str">
        <x:f>IF(OR(H266="",J266="Состоялась",J266="Отменена"),"",H266-TODAY())</x:f>
      </x:c>
    </x:row>
    <x:row r="267">
      <x:c r="A267" s="22" t="str">
        <x:f>IF(B267="","","CP-"&amp;TEXT(ROW()-2,"0000"))</x:f>
      </x:c>
      <x:c r="B267" s="22"/>
      <x:c r="C267" s="26"/>
      <x:c r="D267" s="22"/>
      <x:c r="E267" s="22"/>
      <x:c r="F267" s="22"/>
      <x:c r="G267" s="22"/>
      <x:c r="H267" s="26"/>
      <x:c r="I267" s="22"/>
      <x:c r="J267" s="22"/>
      <x:c r="K267" s="22"/>
      <x:c r="L267" s="22" t="str">
        <x:f>IF(OR(H267="",J267="Состоялась",J267="Отменена"),"",H267-TODAY())</x:f>
      </x:c>
    </x:row>
    <x:row r="268">
      <x:c r="A268" s="22" t="str">
        <x:f>IF(B268="","","CP-"&amp;TEXT(ROW()-2,"0000"))</x:f>
      </x:c>
      <x:c r="B268" s="22"/>
      <x:c r="C268" s="26"/>
      <x:c r="D268" s="22"/>
      <x:c r="E268" s="22"/>
      <x:c r="F268" s="22"/>
      <x:c r="G268" s="22"/>
      <x:c r="H268" s="26"/>
      <x:c r="I268" s="22"/>
      <x:c r="J268" s="22"/>
      <x:c r="K268" s="22"/>
      <x:c r="L268" s="22" t="str">
        <x:f>IF(OR(H268="",J268="Состоялась",J268="Отменена"),"",H268-TODAY())</x:f>
      </x:c>
    </x:row>
    <x:row r="269">
      <x:c r="A269" s="22" t="str">
        <x:f>IF(B269="","","CP-"&amp;TEXT(ROW()-2,"0000"))</x:f>
      </x:c>
      <x:c r="B269" s="22"/>
      <x:c r="C269" s="26"/>
      <x:c r="D269" s="22"/>
      <x:c r="E269" s="22"/>
      <x:c r="F269" s="22"/>
      <x:c r="G269" s="22"/>
      <x:c r="H269" s="26"/>
      <x:c r="I269" s="22"/>
      <x:c r="J269" s="22"/>
      <x:c r="K269" s="22"/>
      <x:c r="L269" s="22" t="str">
        <x:f>IF(OR(H269="",J269="Состоялась",J269="Отменена"),"",H269-TODAY())</x:f>
      </x:c>
    </x:row>
    <x:row r="270">
      <x:c r="A270" s="22" t="str">
        <x:f>IF(B270="","","CP-"&amp;TEXT(ROW()-2,"0000"))</x:f>
      </x:c>
      <x:c r="B270" s="22"/>
      <x:c r="C270" s="26"/>
      <x:c r="D270" s="22"/>
      <x:c r="E270" s="22"/>
      <x:c r="F270" s="22"/>
      <x:c r="G270" s="22"/>
      <x:c r="H270" s="26"/>
      <x:c r="I270" s="22"/>
      <x:c r="J270" s="22"/>
      <x:c r="K270" s="22"/>
      <x:c r="L270" s="22" t="str">
        <x:f>IF(OR(H270="",J270="Состоялась",J270="Отменена"),"",H270-TODAY())</x:f>
      </x:c>
    </x:row>
    <x:row r="271">
      <x:c r="A271" s="22" t="str">
        <x:f>IF(B271="","","CP-"&amp;TEXT(ROW()-2,"0000"))</x:f>
      </x:c>
      <x:c r="B271" s="22"/>
      <x:c r="C271" s="26"/>
      <x:c r="D271" s="22"/>
      <x:c r="E271" s="22"/>
      <x:c r="F271" s="22"/>
      <x:c r="G271" s="22"/>
      <x:c r="H271" s="26"/>
      <x:c r="I271" s="22"/>
      <x:c r="J271" s="22"/>
      <x:c r="K271" s="22"/>
      <x:c r="L271" s="22" t="str">
        <x:f>IF(OR(H271="",J271="Состоялась",J271="Отменена"),"",H271-TODAY())</x:f>
      </x:c>
    </x:row>
    <x:row r="272">
      <x:c r="A272" s="22" t="str">
        <x:f>IF(B272="","","CP-"&amp;TEXT(ROW()-2,"0000"))</x:f>
      </x:c>
      <x:c r="B272" s="22"/>
      <x:c r="C272" s="26"/>
      <x:c r="D272" s="22"/>
      <x:c r="E272" s="22"/>
      <x:c r="F272" s="22"/>
      <x:c r="G272" s="22"/>
      <x:c r="H272" s="26"/>
      <x:c r="I272" s="22"/>
      <x:c r="J272" s="22"/>
      <x:c r="K272" s="22"/>
      <x:c r="L272" s="22" t="str">
        <x:f>IF(OR(H272="",J272="Состоялась",J272="Отменена"),"",H272-TODAY())</x:f>
      </x:c>
    </x:row>
    <x:row r="273">
      <x:c r="A273" s="22" t="str">
        <x:f>IF(B273="","","CP-"&amp;TEXT(ROW()-2,"0000"))</x:f>
      </x:c>
      <x:c r="B273" s="22"/>
      <x:c r="C273" s="26"/>
      <x:c r="D273" s="22"/>
      <x:c r="E273" s="22"/>
      <x:c r="F273" s="22"/>
      <x:c r="G273" s="22"/>
      <x:c r="H273" s="26"/>
      <x:c r="I273" s="22"/>
      <x:c r="J273" s="22"/>
      <x:c r="K273" s="22"/>
      <x:c r="L273" s="22" t="str">
        <x:f>IF(OR(H273="",J273="Состоялась",J273="Отменена"),"",H273-TODAY())</x:f>
      </x:c>
    </x:row>
    <x:row r="274">
      <x:c r="A274" s="22" t="str">
        <x:f>IF(B274="","","CP-"&amp;TEXT(ROW()-2,"0000"))</x:f>
      </x:c>
      <x:c r="B274" s="22"/>
      <x:c r="C274" s="26"/>
      <x:c r="D274" s="22"/>
      <x:c r="E274" s="22"/>
      <x:c r="F274" s="22"/>
      <x:c r="G274" s="22"/>
      <x:c r="H274" s="26"/>
      <x:c r="I274" s="22"/>
      <x:c r="J274" s="22"/>
      <x:c r="K274" s="22"/>
      <x:c r="L274" s="22" t="str">
        <x:f>IF(OR(H274="",J274="Состоялась",J274="Отменена"),"",H274-TODAY())</x:f>
      </x:c>
    </x:row>
    <x:row r="275">
      <x:c r="A275" s="22" t="str">
        <x:f>IF(B275="","","CP-"&amp;TEXT(ROW()-2,"0000"))</x:f>
      </x:c>
      <x:c r="B275" s="22"/>
      <x:c r="C275" s="26"/>
      <x:c r="D275" s="22"/>
      <x:c r="E275" s="22"/>
      <x:c r="F275" s="22"/>
      <x:c r="G275" s="22"/>
      <x:c r="H275" s="26"/>
      <x:c r="I275" s="22"/>
      <x:c r="J275" s="22"/>
      <x:c r="K275" s="22"/>
      <x:c r="L275" s="22" t="str">
        <x:f>IF(OR(H275="",J275="Состоялась",J275="Отменена"),"",H275-TODAY())</x:f>
      </x:c>
    </x:row>
    <x:row r="276">
      <x:c r="A276" s="22" t="str">
        <x:f>IF(B276="","","CP-"&amp;TEXT(ROW()-2,"0000"))</x:f>
      </x:c>
      <x:c r="B276" s="22"/>
      <x:c r="C276" s="26"/>
      <x:c r="D276" s="22"/>
      <x:c r="E276" s="22"/>
      <x:c r="F276" s="22"/>
      <x:c r="G276" s="22"/>
      <x:c r="H276" s="26"/>
      <x:c r="I276" s="22"/>
      <x:c r="J276" s="22"/>
      <x:c r="K276" s="22"/>
      <x:c r="L276" s="22" t="str">
        <x:f>IF(OR(H276="",J276="Состоялась",J276="Отменена"),"",H276-TODAY())</x:f>
      </x:c>
    </x:row>
    <x:row r="277">
      <x:c r="A277" s="22" t="str">
        <x:f>IF(B277="","","CP-"&amp;TEXT(ROW()-2,"0000"))</x:f>
      </x:c>
      <x:c r="B277" s="22"/>
      <x:c r="C277" s="26"/>
      <x:c r="D277" s="22"/>
      <x:c r="E277" s="22"/>
      <x:c r="F277" s="22"/>
      <x:c r="G277" s="22"/>
      <x:c r="H277" s="26"/>
      <x:c r="I277" s="22"/>
      <x:c r="J277" s="22"/>
      <x:c r="K277" s="22"/>
      <x:c r="L277" s="22" t="str">
        <x:f>IF(OR(H277="",J277="Состоялась",J277="Отменена"),"",H277-TODAY())</x:f>
      </x:c>
    </x:row>
    <x:row r="278">
      <x:c r="A278" s="22" t="str">
        <x:f>IF(B278="","","CP-"&amp;TEXT(ROW()-2,"0000"))</x:f>
      </x:c>
      <x:c r="B278" s="22"/>
      <x:c r="C278" s="26"/>
      <x:c r="D278" s="22"/>
      <x:c r="E278" s="22"/>
      <x:c r="F278" s="22"/>
      <x:c r="G278" s="22"/>
      <x:c r="H278" s="26"/>
      <x:c r="I278" s="22"/>
      <x:c r="J278" s="22"/>
      <x:c r="K278" s="22"/>
      <x:c r="L278" s="22" t="str">
        <x:f>IF(OR(H278="",J278="Состоялась",J278="Отменена"),"",H278-TODAY())</x:f>
      </x:c>
    </x:row>
    <x:row r="279">
      <x:c r="A279" s="22" t="str">
        <x:f>IF(B279="","","CP-"&amp;TEXT(ROW()-2,"0000"))</x:f>
      </x:c>
      <x:c r="B279" s="22"/>
      <x:c r="C279" s="26"/>
      <x:c r="D279" s="22"/>
      <x:c r="E279" s="22"/>
      <x:c r="F279" s="22"/>
      <x:c r="G279" s="22"/>
      <x:c r="H279" s="26"/>
      <x:c r="I279" s="22"/>
      <x:c r="J279" s="22"/>
      <x:c r="K279" s="22"/>
      <x:c r="L279" s="22" t="str">
        <x:f>IF(OR(H279="",J279="Состоялась",J279="Отменена"),"",H279-TODAY())</x:f>
      </x:c>
    </x:row>
    <x:row r="280">
      <x:c r="A280" s="22" t="str">
        <x:f>IF(B280="","","CP-"&amp;TEXT(ROW()-2,"0000"))</x:f>
      </x:c>
      <x:c r="B280" s="22"/>
      <x:c r="C280" s="26"/>
      <x:c r="D280" s="22"/>
      <x:c r="E280" s="22"/>
      <x:c r="F280" s="22"/>
      <x:c r="G280" s="22"/>
      <x:c r="H280" s="26"/>
      <x:c r="I280" s="22"/>
      <x:c r="J280" s="22"/>
      <x:c r="K280" s="22"/>
      <x:c r="L280" s="22" t="str">
        <x:f>IF(OR(H280="",J280="Состоялась",J280="Отменена"),"",H280-TODAY())</x:f>
      </x:c>
    </x:row>
    <x:row r="281">
      <x:c r="A281" s="22" t="str">
        <x:f>IF(B281="","","CP-"&amp;TEXT(ROW()-2,"0000"))</x:f>
      </x:c>
      <x:c r="B281" s="22"/>
      <x:c r="C281" s="26"/>
      <x:c r="D281" s="22"/>
      <x:c r="E281" s="22"/>
      <x:c r="F281" s="22"/>
      <x:c r="G281" s="22"/>
      <x:c r="H281" s="26"/>
      <x:c r="I281" s="22"/>
      <x:c r="J281" s="22"/>
      <x:c r="K281" s="22"/>
      <x:c r="L281" s="22" t="str">
        <x:f>IF(OR(H281="",J281="Состоялась",J281="Отменена"),"",H281-TODAY())</x:f>
      </x:c>
    </x:row>
    <x:row r="282">
      <x:c r="A282" s="22" t="str">
        <x:f>IF(B282="","","CP-"&amp;TEXT(ROW()-2,"0000"))</x:f>
      </x:c>
      <x:c r="B282" s="22"/>
      <x:c r="C282" s="26"/>
      <x:c r="D282" s="22"/>
      <x:c r="E282" s="22"/>
      <x:c r="F282" s="22"/>
      <x:c r="G282" s="22"/>
      <x:c r="H282" s="26"/>
      <x:c r="I282" s="22"/>
      <x:c r="J282" s="22"/>
      <x:c r="K282" s="22"/>
      <x:c r="L282" s="22" t="str">
        <x:f>IF(OR(H282="",J282="Состоялась",J282="Отменена"),"",H282-TODAY())</x:f>
      </x:c>
    </x:row>
    <x:row r="283">
      <x:c r="A283" s="22" t="str">
        <x:f>IF(B283="","","CP-"&amp;TEXT(ROW()-2,"0000"))</x:f>
      </x:c>
      <x:c r="B283" s="22"/>
      <x:c r="C283" s="26"/>
      <x:c r="D283" s="22"/>
      <x:c r="E283" s="22"/>
      <x:c r="F283" s="22"/>
      <x:c r="G283" s="22"/>
      <x:c r="H283" s="26"/>
      <x:c r="I283" s="22"/>
      <x:c r="J283" s="22"/>
      <x:c r="K283" s="22"/>
      <x:c r="L283" s="22" t="str">
        <x:f>IF(OR(H283="",J283="Состоялась",J283="Отменена"),"",H283-TODAY())</x:f>
      </x:c>
    </x:row>
    <x:row r="284">
      <x:c r="A284" s="22" t="str">
        <x:f>IF(B284="","","CP-"&amp;TEXT(ROW()-2,"0000"))</x:f>
      </x:c>
      <x:c r="B284" s="22"/>
      <x:c r="C284" s="26"/>
      <x:c r="D284" s="22"/>
      <x:c r="E284" s="22"/>
      <x:c r="F284" s="22"/>
      <x:c r="G284" s="22"/>
      <x:c r="H284" s="26"/>
      <x:c r="I284" s="22"/>
      <x:c r="J284" s="22"/>
      <x:c r="K284" s="22"/>
      <x:c r="L284" s="22" t="str">
        <x:f>IF(OR(H284="",J284="Состоялась",J284="Отменена"),"",H284-TODAY())</x:f>
      </x:c>
    </x:row>
    <x:row r="285">
      <x:c r="A285" s="22" t="str">
        <x:f>IF(B285="","","CP-"&amp;TEXT(ROW()-2,"0000"))</x:f>
      </x:c>
      <x:c r="B285" s="22"/>
      <x:c r="C285" s="26"/>
      <x:c r="D285" s="22"/>
      <x:c r="E285" s="22"/>
      <x:c r="F285" s="22"/>
      <x:c r="G285" s="22"/>
      <x:c r="H285" s="26"/>
      <x:c r="I285" s="22"/>
      <x:c r="J285" s="22"/>
      <x:c r="K285" s="22"/>
      <x:c r="L285" s="22" t="str">
        <x:f>IF(OR(H285="",J285="Состоялась",J285="Отменена"),"",H285-TODAY())</x:f>
      </x:c>
    </x:row>
    <x:row r="286">
      <x:c r="A286" s="22" t="str">
        <x:f>IF(B286="","","CP-"&amp;TEXT(ROW()-2,"0000"))</x:f>
      </x:c>
      <x:c r="B286" s="22"/>
      <x:c r="C286" s="26"/>
      <x:c r="D286" s="22"/>
      <x:c r="E286" s="22"/>
      <x:c r="F286" s="22"/>
      <x:c r="G286" s="22"/>
      <x:c r="H286" s="26"/>
      <x:c r="I286" s="22"/>
      <x:c r="J286" s="22"/>
      <x:c r="K286" s="22"/>
      <x:c r="L286" s="22" t="str">
        <x:f>IF(OR(H286="",J286="Состоялась",J286="Отменена"),"",H286-TODAY())</x:f>
      </x:c>
    </x:row>
    <x:row r="287">
      <x:c r="A287" s="22" t="str">
        <x:f>IF(B287="","","CP-"&amp;TEXT(ROW()-2,"0000"))</x:f>
      </x:c>
      <x:c r="B287" s="22"/>
      <x:c r="C287" s="26"/>
      <x:c r="D287" s="22"/>
      <x:c r="E287" s="22"/>
      <x:c r="F287" s="22"/>
      <x:c r="G287" s="22"/>
      <x:c r="H287" s="26"/>
      <x:c r="I287" s="22"/>
      <x:c r="J287" s="22"/>
      <x:c r="K287" s="22"/>
      <x:c r="L287" s="22" t="str">
        <x:f>IF(OR(H287="",J287="Состоялась",J287="Отменена"),"",H287-TODAY())</x:f>
      </x:c>
    </x:row>
    <x:row r="288">
      <x:c r="A288" s="22" t="str">
        <x:f>IF(B288="","","CP-"&amp;TEXT(ROW()-2,"0000"))</x:f>
      </x:c>
      <x:c r="B288" s="22"/>
      <x:c r="C288" s="26"/>
      <x:c r="D288" s="22"/>
      <x:c r="E288" s="22"/>
      <x:c r="F288" s="22"/>
      <x:c r="G288" s="22"/>
      <x:c r="H288" s="26"/>
      <x:c r="I288" s="22"/>
      <x:c r="J288" s="22"/>
      <x:c r="K288" s="22"/>
      <x:c r="L288" s="22" t="str">
        <x:f>IF(OR(H288="",J288="Состоялась",J288="Отменена"),"",H288-TODAY())</x:f>
      </x:c>
    </x:row>
    <x:row r="289">
      <x:c r="A289" s="22" t="str">
        <x:f>IF(B289="","","CP-"&amp;TEXT(ROW()-2,"0000"))</x:f>
      </x:c>
      <x:c r="B289" s="22"/>
      <x:c r="C289" s="26"/>
      <x:c r="D289" s="22"/>
      <x:c r="E289" s="22"/>
      <x:c r="F289" s="22"/>
      <x:c r="G289" s="22"/>
      <x:c r="H289" s="26"/>
      <x:c r="I289" s="22"/>
      <x:c r="J289" s="22"/>
      <x:c r="K289" s="22"/>
      <x:c r="L289" s="22" t="str">
        <x:f>IF(OR(H289="",J289="Состоялась",J289="Отменена"),"",H289-TODAY())</x:f>
      </x:c>
    </x:row>
    <x:row r="290">
      <x:c r="A290" s="22" t="str">
        <x:f>IF(B290="","","CP-"&amp;TEXT(ROW()-2,"0000"))</x:f>
      </x:c>
      <x:c r="B290" s="22"/>
      <x:c r="C290" s="26"/>
      <x:c r="D290" s="22"/>
      <x:c r="E290" s="22"/>
      <x:c r="F290" s="22"/>
      <x:c r="G290" s="22"/>
      <x:c r="H290" s="26"/>
      <x:c r="I290" s="22"/>
      <x:c r="J290" s="22"/>
      <x:c r="K290" s="22"/>
      <x:c r="L290" s="22" t="str">
        <x:f>IF(OR(H290="",J290="Состоялась",J290="Отменена"),"",H290-TODAY())</x:f>
      </x:c>
    </x:row>
    <x:row r="291">
      <x:c r="A291" s="22" t="str">
        <x:f>IF(B291="","","CP-"&amp;TEXT(ROW()-2,"0000"))</x:f>
      </x:c>
      <x:c r="B291" s="22"/>
      <x:c r="C291" s="26"/>
      <x:c r="D291" s="22"/>
      <x:c r="E291" s="22"/>
      <x:c r="F291" s="22"/>
      <x:c r="G291" s="22"/>
      <x:c r="H291" s="26"/>
      <x:c r="I291" s="22"/>
      <x:c r="J291" s="22"/>
      <x:c r="K291" s="22"/>
      <x:c r="L291" s="22" t="str">
        <x:f>IF(OR(H291="",J291="Состоялась",J291="Отменена"),"",H291-TODAY())</x:f>
      </x:c>
    </x:row>
    <x:row r="292">
      <x:c r="A292" s="22" t="str">
        <x:f>IF(B292="","","CP-"&amp;TEXT(ROW()-2,"0000"))</x:f>
      </x:c>
      <x:c r="B292" s="22"/>
      <x:c r="C292" s="26"/>
      <x:c r="D292" s="22"/>
      <x:c r="E292" s="22"/>
      <x:c r="F292" s="22"/>
      <x:c r="G292" s="22"/>
      <x:c r="H292" s="26"/>
      <x:c r="I292" s="22"/>
      <x:c r="J292" s="22"/>
      <x:c r="K292" s="22"/>
      <x:c r="L292" s="22" t="str">
        <x:f>IF(OR(H292="",J292="Состоялась",J292="Отменена"),"",H292-TODAY())</x:f>
      </x:c>
    </x:row>
    <x:row r="293">
      <x:c r="A293" s="22" t="str">
        <x:f>IF(B293="","","CP-"&amp;TEXT(ROW()-2,"0000"))</x:f>
      </x:c>
      <x:c r="B293" s="22"/>
      <x:c r="C293" s="26"/>
      <x:c r="D293" s="22"/>
      <x:c r="E293" s="22"/>
      <x:c r="F293" s="22"/>
      <x:c r="G293" s="22"/>
      <x:c r="H293" s="26"/>
      <x:c r="I293" s="22"/>
      <x:c r="J293" s="22"/>
      <x:c r="K293" s="22"/>
      <x:c r="L293" s="22" t="str">
        <x:f>IF(OR(H293="",J293="Состоялась",J293="Отменена"),"",H293-TODAY())</x:f>
      </x:c>
    </x:row>
    <x:row r="294">
      <x:c r="A294" s="22" t="str">
        <x:f>IF(B294="","","CP-"&amp;TEXT(ROW()-2,"0000"))</x:f>
      </x:c>
      <x:c r="B294" s="22"/>
      <x:c r="C294" s="26"/>
      <x:c r="D294" s="22"/>
      <x:c r="E294" s="22"/>
      <x:c r="F294" s="22"/>
      <x:c r="G294" s="22"/>
      <x:c r="H294" s="26"/>
      <x:c r="I294" s="22"/>
      <x:c r="J294" s="22"/>
      <x:c r="K294" s="22"/>
      <x:c r="L294" s="22" t="str">
        <x:f>IF(OR(H294="",J294="Состоялась",J294="Отменена"),"",H294-TODAY())</x:f>
      </x:c>
    </x:row>
    <x:row r="295">
      <x:c r="A295" s="22" t="str">
        <x:f>IF(B295="","","CP-"&amp;TEXT(ROW()-2,"0000"))</x:f>
      </x:c>
      <x:c r="B295" s="22"/>
      <x:c r="C295" s="26"/>
      <x:c r="D295" s="22"/>
      <x:c r="E295" s="22"/>
      <x:c r="F295" s="22"/>
      <x:c r="G295" s="22"/>
      <x:c r="H295" s="26"/>
      <x:c r="I295" s="22"/>
      <x:c r="J295" s="22"/>
      <x:c r="K295" s="22"/>
      <x:c r="L295" s="22" t="str">
        <x:f>IF(OR(H295="",J295="Состоялась",J295="Отменена"),"",H295-TODAY())</x:f>
      </x:c>
    </x:row>
    <x:row r="296">
      <x:c r="A296" s="22" t="str">
        <x:f>IF(B296="","","CP-"&amp;TEXT(ROW()-2,"0000"))</x:f>
      </x:c>
      <x:c r="B296" s="22"/>
      <x:c r="C296" s="26"/>
      <x:c r="D296" s="22"/>
      <x:c r="E296" s="22"/>
      <x:c r="F296" s="22"/>
      <x:c r="G296" s="22"/>
      <x:c r="H296" s="26"/>
      <x:c r="I296" s="22"/>
      <x:c r="J296" s="22"/>
      <x:c r="K296" s="22"/>
      <x:c r="L296" s="22" t="str">
        <x:f>IF(OR(H296="",J296="Состоялась",J296="Отменена"),"",H296-TODAY())</x:f>
      </x:c>
    </x:row>
    <x:row r="297">
      <x:c r="A297" s="22" t="str">
        <x:f>IF(B297="","","CP-"&amp;TEXT(ROW()-2,"0000"))</x:f>
      </x:c>
      <x:c r="B297" s="22"/>
      <x:c r="C297" s="26"/>
      <x:c r="D297" s="22"/>
      <x:c r="E297" s="22"/>
      <x:c r="F297" s="22"/>
      <x:c r="G297" s="22"/>
      <x:c r="H297" s="26"/>
      <x:c r="I297" s="22"/>
      <x:c r="J297" s="22"/>
      <x:c r="K297" s="22"/>
      <x:c r="L297" s="22" t="str">
        <x:f>IF(OR(H297="",J297="Состоялась",J297="Отменена"),"",H297-TODAY())</x:f>
      </x:c>
    </x:row>
    <x:row r="298">
      <x:c r="A298" s="22" t="str">
        <x:f>IF(B298="","","CP-"&amp;TEXT(ROW()-2,"0000"))</x:f>
      </x:c>
      <x:c r="B298" s="22"/>
      <x:c r="C298" s="26"/>
      <x:c r="D298" s="22"/>
      <x:c r="E298" s="22"/>
      <x:c r="F298" s="22"/>
      <x:c r="G298" s="22"/>
      <x:c r="H298" s="26"/>
      <x:c r="I298" s="22"/>
      <x:c r="J298" s="22"/>
      <x:c r="K298" s="22"/>
      <x:c r="L298" s="22" t="str">
        <x:f>IF(OR(H298="",J298="Состоялась",J298="Отменена"),"",H298-TODAY())</x:f>
      </x:c>
    </x:row>
    <x:row r="299">
      <x:c r="A299" s="22" t="str">
        <x:f>IF(B299="","","CP-"&amp;TEXT(ROW()-2,"0000"))</x:f>
      </x:c>
      <x:c r="B299" s="22"/>
      <x:c r="C299" s="26"/>
      <x:c r="D299" s="22"/>
      <x:c r="E299" s="22"/>
      <x:c r="F299" s="22"/>
      <x:c r="G299" s="22"/>
      <x:c r="H299" s="26"/>
      <x:c r="I299" s="22"/>
      <x:c r="J299" s="22"/>
      <x:c r="K299" s="22"/>
      <x:c r="L299" s="22" t="str">
        <x:f>IF(OR(H299="",J299="Состоялась",J299="Отменена"),"",H299-TODAY())</x:f>
      </x:c>
    </x:row>
    <x:row r="300">
      <x:c r="A300" s="22" t="str">
        <x:f>IF(B300="","","CP-"&amp;TEXT(ROW()-2,"0000"))</x:f>
      </x:c>
      <x:c r="B300" s="22"/>
      <x:c r="C300" s="26"/>
      <x:c r="D300" s="22"/>
      <x:c r="E300" s="22"/>
      <x:c r="F300" s="22"/>
      <x:c r="G300" s="22"/>
      <x:c r="H300" s="26"/>
      <x:c r="I300" s="22"/>
      <x:c r="J300" s="22"/>
      <x:c r="K300" s="22"/>
      <x:c r="L300" s="22" t="str">
        <x:f>IF(OR(H300="",J300="Состоялась",J300="Отменена"),"",H300-TODAY())</x:f>
      </x:c>
    </x:row>
    <x:row r="301">
      <x:c r="A301" s="22" t="str">
        <x:f>IF(B301="","","CP-"&amp;TEXT(ROW()-2,"0000"))</x:f>
      </x:c>
      <x:c r="B301" s="22"/>
      <x:c r="C301" s="26"/>
      <x:c r="D301" s="22"/>
      <x:c r="E301" s="22"/>
      <x:c r="F301" s="22"/>
      <x:c r="G301" s="22"/>
      <x:c r="H301" s="26"/>
      <x:c r="I301" s="22"/>
      <x:c r="J301" s="22"/>
      <x:c r="K301" s="22"/>
      <x:c r="L301" s="22" t="str">
        <x:f>IF(OR(H301="",J301="Состоялась",J301="Отменена"),"",H301-TODAY())</x:f>
      </x:c>
    </x:row>
    <x:row r="302">
      <x:c r="A302" s="22" t="str">
        <x:f>IF(B302="","","CP-"&amp;TEXT(ROW()-2,"0000"))</x:f>
      </x:c>
      <x:c r="B302" s="22"/>
      <x:c r="C302" s="26"/>
      <x:c r="D302" s="22"/>
      <x:c r="E302" s="22"/>
      <x:c r="F302" s="22"/>
      <x:c r="G302" s="22"/>
      <x:c r="H302" s="26"/>
      <x:c r="I302" s="22"/>
      <x:c r="J302" s="22"/>
      <x:c r="K302" s="22"/>
      <x:c r="L302" s="22" t="str">
        <x:f>IF(OR(H302="",J302="Состоялась",J302="Отменена"),"",H302-TODAY())</x:f>
      </x:c>
    </x:row>
    <x:row r="303">
      <x:c r="A303" s="22" t="str">
        <x:f>IF(B303="","","CP-"&amp;TEXT(ROW()-2,"0000"))</x:f>
      </x:c>
      <x:c r="B303" s="22"/>
      <x:c r="C303" s="26"/>
      <x:c r="D303" s="22"/>
      <x:c r="E303" s="22"/>
      <x:c r="F303" s="22"/>
      <x:c r="G303" s="22"/>
      <x:c r="H303" s="26"/>
      <x:c r="I303" s="22"/>
      <x:c r="J303" s="22"/>
      <x:c r="K303" s="22"/>
      <x:c r="L303" s="22" t="str">
        <x:f>IF(OR(H303="",J303="Состоялась",J303="Отменена"),"",H303-TODAY())</x:f>
      </x:c>
    </x:row>
    <x:row r="304">
      <x:c r="A304" s="22" t="str">
        <x:f>IF(B304="","","CP-"&amp;TEXT(ROW()-2,"0000"))</x:f>
      </x:c>
      <x:c r="B304" s="22"/>
      <x:c r="C304" s="26"/>
      <x:c r="D304" s="22"/>
      <x:c r="E304" s="22"/>
      <x:c r="F304" s="22"/>
      <x:c r="G304" s="22"/>
      <x:c r="H304" s="26"/>
      <x:c r="I304" s="22"/>
      <x:c r="J304" s="22"/>
      <x:c r="K304" s="22"/>
      <x:c r="L304" s="22" t="str">
        <x:f>IF(OR(H304="",J304="Состоялась",J304="Отменена"),"",H304-TODAY())</x:f>
      </x:c>
    </x:row>
    <x:row r="305">
      <x:c r="A305" s="22" t="str">
        <x:f>IF(B305="","","CP-"&amp;TEXT(ROW()-2,"0000"))</x:f>
      </x:c>
      <x:c r="B305" s="22"/>
      <x:c r="C305" s="26"/>
      <x:c r="D305" s="22"/>
      <x:c r="E305" s="22"/>
      <x:c r="F305" s="22"/>
      <x:c r="G305" s="22"/>
      <x:c r="H305" s="26"/>
      <x:c r="I305" s="22"/>
      <x:c r="J305" s="22"/>
      <x:c r="K305" s="22"/>
      <x:c r="L305" s="22" t="str">
        <x:f>IF(OR(H305="",J305="Состоялась",J305="Отменена"),"",H305-TODAY())</x:f>
      </x:c>
    </x:row>
    <x:row r="306">
      <x:c r="A306" s="22" t="str">
        <x:f>IF(B306="","","CP-"&amp;TEXT(ROW()-2,"0000"))</x:f>
      </x:c>
      <x:c r="B306" s="22"/>
      <x:c r="C306" s="26"/>
      <x:c r="D306" s="22"/>
      <x:c r="E306" s="22"/>
      <x:c r="F306" s="22"/>
      <x:c r="G306" s="22"/>
      <x:c r="H306" s="26"/>
      <x:c r="I306" s="22"/>
      <x:c r="J306" s="22"/>
      <x:c r="K306" s="22"/>
      <x:c r="L306" s="22" t="str">
        <x:f>IF(OR(H306="",J306="Состоялась",J306="Отменена"),"",H306-TODAY())</x:f>
      </x:c>
    </x:row>
    <x:row r="307">
      <x:c r="A307" s="22" t="str">
        <x:f>IF(B307="","","CP-"&amp;TEXT(ROW()-2,"0000"))</x:f>
      </x:c>
      <x:c r="B307" s="22"/>
      <x:c r="C307" s="26"/>
      <x:c r="D307" s="22"/>
      <x:c r="E307" s="22"/>
      <x:c r="F307" s="22"/>
      <x:c r="G307" s="22"/>
      <x:c r="H307" s="26"/>
      <x:c r="I307" s="22"/>
      <x:c r="J307" s="22"/>
      <x:c r="K307" s="22"/>
      <x:c r="L307" s="22" t="str">
        <x:f>IF(OR(H307="",J307="Состоялась",J307="Отменена"),"",H307-TODAY())</x:f>
      </x:c>
    </x:row>
    <x:row r="308">
      <x:c r="A308" s="22" t="str">
        <x:f>IF(B308="","","CP-"&amp;TEXT(ROW()-2,"0000"))</x:f>
      </x:c>
      <x:c r="B308" s="22"/>
      <x:c r="C308" s="26"/>
      <x:c r="D308" s="22"/>
      <x:c r="E308" s="22"/>
      <x:c r="F308" s="22"/>
      <x:c r="G308" s="22"/>
      <x:c r="H308" s="26"/>
      <x:c r="I308" s="22"/>
      <x:c r="J308" s="22"/>
      <x:c r="K308" s="22"/>
      <x:c r="L308" s="22" t="str">
        <x:f>IF(OR(H308="",J308="Состоялась",J308="Отменена"),"",H308-TODAY())</x:f>
      </x:c>
    </x:row>
    <x:row r="309">
      <x:c r="A309" s="22" t="str">
        <x:f>IF(B309="","","CP-"&amp;TEXT(ROW()-2,"0000"))</x:f>
      </x:c>
      <x:c r="B309" s="22"/>
      <x:c r="C309" s="26"/>
      <x:c r="D309" s="22"/>
      <x:c r="E309" s="22"/>
      <x:c r="F309" s="22"/>
      <x:c r="G309" s="22"/>
      <x:c r="H309" s="26"/>
      <x:c r="I309" s="22"/>
      <x:c r="J309" s="22"/>
      <x:c r="K309" s="22"/>
      <x:c r="L309" s="22" t="str">
        <x:f>IF(OR(H309="",J309="Состоялась",J309="Отменена"),"",H309-TODAY())</x:f>
      </x:c>
    </x:row>
    <x:row r="310">
      <x:c r="A310" s="22" t="str">
        <x:f>IF(B310="","","CP-"&amp;TEXT(ROW()-2,"0000"))</x:f>
      </x:c>
      <x:c r="B310" s="22"/>
      <x:c r="C310" s="26"/>
      <x:c r="D310" s="22"/>
      <x:c r="E310" s="22"/>
      <x:c r="F310" s="22"/>
      <x:c r="G310" s="22"/>
      <x:c r="H310" s="26"/>
      <x:c r="I310" s="22"/>
      <x:c r="J310" s="22"/>
      <x:c r="K310" s="22"/>
      <x:c r="L310" s="22" t="str">
        <x:f>IF(OR(H310="",J310="Состоялась",J310="Отменена"),"",H310-TODAY())</x:f>
      </x:c>
    </x:row>
    <x:row r="311">
      <x:c r="A311" s="22" t="str">
        <x:f>IF(B311="","","CP-"&amp;TEXT(ROW()-2,"0000"))</x:f>
      </x:c>
      <x:c r="B311" s="22"/>
      <x:c r="C311" s="26"/>
      <x:c r="D311" s="22"/>
      <x:c r="E311" s="22"/>
      <x:c r="F311" s="22"/>
      <x:c r="G311" s="22"/>
      <x:c r="H311" s="26"/>
      <x:c r="I311" s="22"/>
      <x:c r="J311" s="22"/>
      <x:c r="K311" s="22"/>
      <x:c r="L311" s="22" t="str">
        <x:f>IF(OR(H311="",J311="Состоялась",J311="Отменена"),"",H311-TODAY())</x:f>
      </x:c>
    </x:row>
    <x:row r="312">
      <x:c r="A312" s="22" t="str">
        <x:f>IF(B312="","","CP-"&amp;TEXT(ROW()-2,"0000"))</x:f>
      </x:c>
      <x:c r="B312" s="22"/>
      <x:c r="C312" s="26"/>
      <x:c r="D312" s="22"/>
      <x:c r="E312" s="22"/>
      <x:c r="F312" s="22"/>
      <x:c r="G312" s="22"/>
      <x:c r="H312" s="26"/>
      <x:c r="I312" s="22"/>
      <x:c r="J312" s="22"/>
      <x:c r="K312" s="22"/>
      <x:c r="L312" s="22" t="str">
        <x:f>IF(OR(H312="",J312="Состоялась",J312="Отменена"),"",H312-TODAY())</x:f>
      </x:c>
    </x:row>
    <x:row r="313">
      <x:c r="A313" s="22" t="str">
        <x:f>IF(B313="","","CP-"&amp;TEXT(ROW()-2,"0000"))</x:f>
      </x:c>
      <x:c r="B313" s="22"/>
      <x:c r="C313" s="26"/>
      <x:c r="D313" s="22"/>
      <x:c r="E313" s="22"/>
      <x:c r="F313" s="22"/>
      <x:c r="G313" s="22"/>
      <x:c r="H313" s="26"/>
      <x:c r="I313" s="22"/>
      <x:c r="J313" s="22"/>
      <x:c r="K313" s="22"/>
      <x:c r="L313" s="22" t="str">
        <x:f>IF(OR(H313="",J313="Состоялась",J313="Отменена"),"",H313-TODAY())</x:f>
      </x:c>
    </x:row>
    <x:row r="314">
      <x:c r="A314" s="22" t="str">
        <x:f>IF(B314="","","CP-"&amp;TEXT(ROW()-2,"0000"))</x:f>
      </x:c>
      <x:c r="B314" s="22"/>
      <x:c r="C314" s="26"/>
      <x:c r="D314" s="22"/>
      <x:c r="E314" s="22"/>
      <x:c r="F314" s="22"/>
      <x:c r="G314" s="22"/>
      <x:c r="H314" s="26"/>
      <x:c r="I314" s="22"/>
      <x:c r="J314" s="22"/>
      <x:c r="K314" s="22"/>
      <x:c r="L314" s="22" t="str">
        <x:f>IF(OR(H314="",J314="Состоялась",J314="Отменена"),"",H314-TODAY())</x:f>
      </x:c>
    </x:row>
    <x:row r="315">
      <x:c r="A315" s="22" t="str">
        <x:f>IF(B315="","","CP-"&amp;TEXT(ROW()-2,"0000"))</x:f>
      </x:c>
      <x:c r="B315" s="22"/>
      <x:c r="C315" s="26"/>
      <x:c r="D315" s="22"/>
      <x:c r="E315" s="22"/>
      <x:c r="F315" s="22"/>
      <x:c r="G315" s="22"/>
      <x:c r="H315" s="26"/>
      <x:c r="I315" s="22"/>
      <x:c r="J315" s="22"/>
      <x:c r="K315" s="22"/>
      <x:c r="L315" s="22" t="str">
        <x:f>IF(OR(H315="",J315="Состоялась",J315="Отменена"),"",H315-TODAY())</x:f>
      </x:c>
    </x:row>
    <x:row r="316">
      <x:c r="A316" s="22" t="str">
        <x:f>IF(B316="","","CP-"&amp;TEXT(ROW()-2,"0000"))</x:f>
      </x:c>
      <x:c r="B316" s="22"/>
      <x:c r="C316" s="26"/>
      <x:c r="D316" s="22"/>
      <x:c r="E316" s="22"/>
      <x:c r="F316" s="22"/>
      <x:c r="G316" s="22"/>
      <x:c r="H316" s="26"/>
      <x:c r="I316" s="22"/>
      <x:c r="J316" s="22"/>
      <x:c r="K316" s="22"/>
      <x:c r="L316" s="22" t="str">
        <x:f>IF(OR(H316="",J316="Состоялась",J316="Отменена"),"",H316-TODAY())</x:f>
      </x:c>
    </x:row>
    <x:row r="317">
      <x:c r="A317" s="22" t="str">
        <x:f>IF(B317="","","CP-"&amp;TEXT(ROW()-2,"0000"))</x:f>
      </x:c>
      <x:c r="B317" s="22"/>
      <x:c r="C317" s="26"/>
      <x:c r="D317" s="22"/>
      <x:c r="E317" s="22"/>
      <x:c r="F317" s="22"/>
      <x:c r="G317" s="22"/>
      <x:c r="H317" s="26"/>
      <x:c r="I317" s="22"/>
      <x:c r="J317" s="22"/>
      <x:c r="K317" s="22"/>
      <x:c r="L317" s="22" t="str">
        <x:f>IF(OR(H317="",J317="Состоялась",J317="Отменена"),"",H317-TODAY())</x:f>
      </x:c>
    </x:row>
    <x:row r="318">
      <x:c r="A318" s="22" t="str">
        <x:f>IF(B318="","","CP-"&amp;TEXT(ROW()-2,"0000"))</x:f>
      </x:c>
      <x:c r="B318" s="22"/>
      <x:c r="C318" s="26"/>
      <x:c r="D318" s="22"/>
      <x:c r="E318" s="22"/>
      <x:c r="F318" s="22"/>
      <x:c r="G318" s="22"/>
      <x:c r="H318" s="26"/>
      <x:c r="I318" s="22"/>
      <x:c r="J318" s="22"/>
      <x:c r="K318" s="22"/>
      <x:c r="L318" s="22" t="str">
        <x:f>IF(OR(H318="",J318="Состоялась",J318="Отменена"),"",H318-TODAY())</x:f>
      </x:c>
    </x:row>
    <x:row r="319">
      <x:c r="A319" s="22" t="str">
        <x:f>IF(B319="","","CP-"&amp;TEXT(ROW()-2,"0000"))</x:f>
      </x:c>
      <x:c r="B319" s="22"/>
      <x:c r="C319" s="26"/>
      <x:c r="D319" s="22"/>
      <x:c r="E319" s="22"/>
      <x:c r="F319" s="22"/>
      <x:c r="G319" s="22"/>
      <x:c r="H319" s="26"/>
      <x:c r="I319" s="22"/>
      <x:c r="J319" s="22"/>
      <x:c r="K319" s="22"/>
      <x:c r="L319" s="22" t="str">
        <x:f>IF(OR(H319="",J319="Состоялась",J319="Отменена"),"",H319-TODAY())</x:f>
      </x:c>
    </x:row>
    <x:row r="320">
      <x:c r="A320" s="22" t="str">
        <x:f>IF(B320="","","CP-"&amp;TEXT(ROW()-2,"0000"))</x:f>
      </x:c>
      <x:c r="B320" s="22"/>
      <x:c r="C320" s="26"/>
      <x:c r="D320" s="22"/>
      <x:c r="E320" s="22"/>
      <x:c r="F320" s="22"/>
      <x:c r="G320" s="22"/>
      <x:c r="H320" s="26"/>
      <x:c r="I320" s="22"/>
      <x:c r="J320" s="22"/>
      <x:c r="K320" s="22"/>
      <x:c r="L320" s="22" t="str">
        <x:f>IF(OR(H320="",J320="Состоялась",J320="Отменена"),"",H320-TODAY())</x:f>
      </x:c>
    </x:row>
    <x:row r="321">
      <x:c r="A321" s="22" t="str">
        <x:f>IF(B321="","","CP-"&amp;TEXT(ROW()-2,"0000"))</x:f>
      </x:c>
      <x:c r="B321" s="22"/>
      <x:c r="C321" s="26"/>
      <x:c r="D321" s="22"/>
      <x:c r="E321" s="22"/>
      <x:c r="F321" s="22"/>
      <x:c r="G321" s="22"/>
      <x:c r="H321" s="26"/>
      <x:c r="I321" s="22"/>
      <x:c r="J321" s="22"/>
      <x:c r="K321" s="22"/>
      <x:c r="L321" s="22" t="str">
        <x:f>IF(OR(H321="",J321="Состоялась",J321="Отменена"),"",H321-TODAY())</x:f>
      </x:c>
    </x:row>
    <x:row r="322">
      <x:c r="A322" s="22" t="str">
        <x:f>IF(B322="","","CP-"&amp;TEXT(ROW()-2,"0000"))</x:f>
      </x:c>
      <x:c r="B322" s="22"/>
      <x:c r="C322" s="26"/>
      <x:c r="D322" s="22"/>
      <x:c r="E322" s="22"/>
      <x:c r="F322" s="22"/>
      <x:c r="G322" s="22"/>
      <x:c r="H322" s="26"/>
      <x:c r="I322" s="22"/>
      <x:c r="J322" s="22"/>
      <x:c r="K322" s="22"/>
      <x:c r="L322" s="22" t="str">
        <x:f>IF(OR(H322="",J322="Состоялась",J322="Отменена"),"",H322-TODAY())</x:f>
      </x:c>
    </x:row>
    <x:row r="323">
      <x:c r="A323" s="22" t="str">
        <x:f>IF(B323="","","CP-"&amp;TEXT(ROW()-2,"0000"))</x:f>
      </x:c>
      <x:c r="B323" s="22"/>
      <x:c r="C323" s="26"/>
      <x:c r="D323" s="22"/>
      <x:c r="E323" s="22"/>
      <x:c r="F323" s="22"/>
      <x:c r="G323" s="22"/>
      <x:c r="H323" s="26"/>
      <x:c r="I323" s="22"/>
      <x:c r="J323" s="22"/>
      <x:c r="K323" s="22"/>
      <x:c r="L323" s="22" t="str">
        <x:f>IF(OR(H323="",J323="Состоялась",J323="Отменена"),"",H323-TODAY())</x:f>
      </x:c>
    </x:row>
    <x:row r="324">
      <x:c r="A324" s="22" t="str">
        <x:f>IF(B324="","","CP-"&amp;TEXT(ROW()-2,"0000"))</x:f>
      </x:c>
      <x:c r="B324" s="22"/>
      <x:c r="C324" s="26"/>
      <x:c r="D324" s="22"/>
      <x:c r="E324" s="22"/>
      <x:c r="F324" s="22"/>
      <x:c r="G324" s="22"/>
      <x:c r="H324" s="26"/>
      <x:c r="I324" s="22"/>
      <x:c r="J324" s="22"/>
      <x:c r="K324" s="22"/>
      <x:c r="L324" s="22" t="str">
        <x:f>IF(OR(H324="",J324="Состоялась",J324="Отменена"),"",H324-TODAY())</x:f>
      </x:c>
    </x:row>
    <x:row r="325">
      <x:c r="A325" s="22" t="str">
        <x:f>IF(B325="","","CP-"&amp;TEXT(ROW()-2,"0000"))</x:f>
      </x:c>
      <x:c r="B325" s="22"/>
      <x:c r="C325" s="26"/>
      <x:c r="D325" s="22"/>
      <x:c r="E325" s="22"/>
      <x:c r="F325" s="22"/>
      <x:c r="G325" s="22"/>
      <x:c r="H325" s="26"/>
      <x:c r="I325" s="22"/>
      <x:c r="J325" s="22"/>
      <x:c r="K325" s="22"/>
      <x:c r="L325" s="22" t="str">
        <x:f>IF(OR(H325="",J325="Состоялась",J325="Отменена"),"",H325-TODAY())</x:f>
      </x:c>
    </x:row>
    <x:row r="326">
      <x:c r="A326" s="22" t="str">
        <x:f>IF(B326="","","CP-"&amp;TEXT(ROW()-2,"0000"))</x:f>
      </x:c>
      <x:c r="B326" s="22"/>
      <x:c r="C326" s="26"/>
      <x:c r="D326" s="22"/>
      <x:c r="E326" s="22"/>
      <x:c r="F326" s="22"/>
      <x:c r="G326" s="22"/>
      <x:c r="H326" s="26"/>
      <x:c r="I326" s="22"/>
      <x:c r="J326" s="22"/>
      <x:c r="K326" s="22"/>
      <x:c r="L326" s="22" t="str">
        <x:f>IF(OR(H326="",J326="Состоялась",J326="Отменена"),"",H326-TODAY())</x:f>
      </x:c>
    </x:row>
    <x:row r="327">
      <x:c r="A327" s="22" t="str">
        <x:f>IF(B327="","","CP-"&amp;TEXT(ROW()-2,"0000"))</x:f>
      </x:c>
      <x:c r="B327" s="22"/>
      <x:c r="C327" s="26"/>
      <x:c r="D327" s="22"/>
      <x:c r="E327" s="22"/>
      <x:c r="F327" s="22"/>
      <x:c r="G327" s="22"/>
      <x:c r="H327" s="26"/>
      <x:c r="I327" s="22"/>
      <x:c r="J327" s="22"/>
      <x:c r="K327" s="22"/>
      <x:c r="L327" s="22" t="str">
        <x:f>IF(OR(H327="",J327="Состоялась",J327="Отменена"),"",H327-TODAY())</x:f>
      </x:c>
    </x:row>
    <x:row r="328">
      <x:c r="A328" s="22" t="str">
        <x:f>IF(B328="","","CP-"&amp;TEXT(ROW()-2,"0000"))</x:f>
      </x:c>
      <x:c r="B328" s="22"/>
      <x:c r="C328" s="26"/>
      <x:c r="D328" s="22"/>
      <x:c r="E328" s="22"/>
      <x:c r="F328" s="22"/>
      <x:c r="G328" s="22"/>
      <x:c r="H328" s="26"/>
      <x:c r="I328" s="22"/>
      <x:c r="J328" s="22"/>
      <x:c r="K328" s="22"/>
      <x:c r="L328" s="22" t="str">
        <x:f>IF(OR(H328="",J328="Состоялась",J328="Отменена"),"",H328-TODAY())</x:f>
      </x:c>
    </x:row>
    <x:row r="329">
      <x:c r="A329" s="22" t="str">
        <x:f>IF(B329="","","CP-"&amp;TEXT(ROW()-2,"0000"))</x:f>
      </x:c>
      <x:c r="B329" s="22"/>
      <x:c r="C329" s="26"/>
      <x:c r="D329" s="22"/>
      <x:c r="E329" s="22"/>
      <x:c r="F329" s="22"/>
      <x:c r="G329" s="22"/>
      <x:c r="H329" s="26"/>
      <x:c r="I329" s="22"/>
      <x:c r="J329" s="22"/>
      <x:c r="K329" s="22"/>
      <x:c r="L329" s="22" t="str">
        <x:f>IF(OR(H329="",J329="Состоялась",J329="Отменена"),"",H329-TODAY())</x:f>
      </x:c>
    </x:row>
    <x:row r="330">
      <x:c r="A330" s="22" t="str">
        <x:f>IF(B330="","","CP-"&amp;TEXT(ROW()-2,"0000"))</x:f>
      </x:c>
      <x:c r="B330" s="22"/>
      <x:c r="C330" s="26"/>
      <x:c r="D330" s="22"/>
      <x:c r="E330" s="22"/>
      <x:c r="F330" s="22"/>
      <x:c r="G330" s="22"/>
      <x:c r="H330" s="26"/>
      <x:c r="I330" s="22"/>
      <x:c r="J330" s="22"/>
      <x:c r="K330" s="22"/>
      <x:c r="L330" s="22" t="str">
        <x:f>IF(OR(H330="",J330="Состоялась",J330="Отменена"),"",H330-TODAY())</x:f>
      </x:c>
    </x:row>
    <x:row r="331">
      <x:c r="A331" s="22" t="str">
        <x:f>IF(B331="","","CP-"&amp;TEXT(ROW()-2,"0000"))</x:f>
      </x:c>
      <x:c r="B331" s="22"/>
      <x:c r="C331" s="26"/>
      <x:c r="D331" s="22"/>
      <x:c r="E331" s="22"/>
      <x:c r="F331" s="22"/>
      <x:c r="G331" s="22"/>
      <x:c r="H331" s="26"/>
      <x:c r="I331" s="22"/>
      <x:c r="J331" s="22"/>
      <x:c r="K331" s="22"/>
      <x:c r="L331" s="22" t="str">
        <x:f>IF(OR(H331="",J331="Состоялась",J331="Отменена"),"",H331-TODAY())</x:f>
      </x:c>
    </x:row>
    <x:row r="332">
      <x:c r="A332" s="22" t="str">
        <x:f>IF(B332="","","CP-"&amp;TEXT(ROW()-2,"0000"))</x:f>
      </x:c>
      <x:c r="B332" s="22"/>
      <x:c r="C332" s="26"/>
      <x:c r="D332" s="22"/>
      <x:c r="E332" s="22"/>
      <x:c r="F332" s="22"/>
      <x:c r="G332" s="22"/>
      <x:c r="H332" s="26"/>
      <x:c r="I332" s="22"/>
      <x:c r="J332" s="22"/>
      <x:c r="K332" s="22"/>
      <x:c r="L332" s="22" t="str">
        <x:f>IF(OR(H332="",J332="Состоялась",J332="Отменена"),"",H332-TODAY())</x:f>
      </x:c>
    </x:row>
    <x:row r="333">
      <x:c r="A333" s="22" t="str">
        <x:f>IF(B333="","","CP-"&amp;TEXT(ROW()-2,"0000"))</x:f>
      </x:c>
      <x:c r="B333" s="22"/>
      <x:c r="C333" s="26"/>
      <x:c r="D333" s="22"/>
      <x:c r="E333" s="22"/>
      <x:c r="F333" s="22"/>
      <x:c r="G333" s="22"/>
      <x:c r="H333" s="26"/>
      <x:c r="I333" s="22"/>
      <x:c r="J333" s="22"/>
      <x:c r="K333" s="22"/>
      <x:c r="L333" s="22" t="str">
        <x:f>IF(OR(H333="",J333="Состоялась",J333="Отменена"),"",H333-TODAY())</x:f>
      </x:c>
    </x:row>
    <x:row r="334">
      <x:c r="A334" s="22" t="str">
        <x:f>IF(B334="","","CP-"&amp;TEXT(ROW()-2,"0000"))</x:f>
      </x:c>
      <x:c r="B334" s="22"/>
      <x:c r="C334" s="26"/>
      <x:c r="D334" s="22"/>
      <x:c r="E334" s="22"/>
      <x:c r="F334" s="22"/>
      <x:c r="G334" s="22"/>
      <x:c r="H334" s="26"/>
      <x:c r="I334" s="22"/>
      <x:c r="J334" s="22"/>
      <x:c r="K334" s="22"/>
      <x:c r="L334" s="22" t="str">
        <x:f>IF(OR(H334="",J334="Состоялась",J334="Отменена"),"",H334-TODAY())</x:f>
      </x:c>
    </x:row>
    <x:row r="335">
      <x:c r="A335" s="22" t="str">
        <x:f>IF(B335="","","CP-"&amp;TEXT(ROW()-2,"0000"))</x:f>
      </x:c>
      <x:c r="B335" s="22"/>
      <x:c r="C335" s="26"/>
      <x:c r="D335" s="22"/>
      <x:c r="E335" s="22"/>
      <x:c r="F335" s="22"/>
      <x:c r="G335" s="22"/>
      <x:c r="H335" s="26"/>
      <x:c r="I335" s="22"/>
      <x:c r="J335" s="22"/>
      <x:c r="K335" s="22"/>
      <x:c r="L335" s="22" t="str">
        <x:f>IF(OR(H335="",J335="Состоялась",J335="Отменена"),"",H335-TODAY())</x:f>
      </x:c>
    </x:row>
    <x:row r="336">
      <x:c r="A336" s="22" t="str">
        <x:f>IF(B336="","","CP-"&amp;TEXT(ROW()-2,"0000"))</x:f>
      </x:c>
      <x:c r="B336" s="22"/>
      <x:c r="C336" s="26"/>
      <x:c r="D336" s="22"/>
      <x:c r="E336" s="22"/>
      <x:c r="F336" s="22"/>
      <x:c r="G336" s="22"/>
      <x:c r="H336" s="26"/>
      <x:c r="I336" s="22"/>
      <x:c r="J336" s="22"/>
      <x:c r="K336" s="22"/>
      <x:c r="L336" s="22" t="str">
        <x:f>IF(OR(H336="",J336="Состоялась",J336="Отменена"),"",H336-TODAY())</x:f>
      </x:c>
    </x:row>
    <x:row r="337">
      <x:c r="A337" s="22" t="str">
        <x:f>IF(B337="","","CP-"&amp;TEXT(ROW()-2,"0000"))</x:f>
      </x:c>
      <x:c r="B337" s="22"/>
      <x:c r="C337" s="26"/>
      <x:c r="D337" s="22"/>
      <x:c r="E337" s="22"/>
      <x:c r="F337" s="22"/>
      <x:c r="G337" s="22"/>
      <x:c r="H337" s="26"/>
      <x:c r="I337" s="22"/>
      <x:c r="J337" s="22"/>
      <x:c r="K337" s="22"/>
      <x:c r="L337" s="22" t="str">
        <x:f>IF(OR(H337="",J337="Состоялась",J337="Отменена"),"",H337-TODAY())</x:f>
      </x:c>
    </x:row>
    <x:row r="338">
      <x:c r="A338" s="22" t="str">
        <x:f>IF(B338="","","CP-"&amp;TEXT(ROW()-2,"0000"))</x:f>
      </x:c>
      <x:c r="B338" s="22"/>
      <x:c r="C338" s="26"/>
      <x:c r="D338" s="22"/>
      <x:c r="E338" s="22"/>
      <x:c r="F338" s="22"/>
      <x:c r="G338" s="22"/>
      <x:c r="H338" s="26"/>
      <x:c r="I338" s="22"/>
      <x:c r="J338" s="22"/>
      <x:c r="K338" s="22"/>
      <x:c r="L338" s="22" t="str">
        <x:f>IF(OR(H338="",J338="Состоялась",J338="Отменена"),"",H338-TODAY())</x:f>
      </x:c>
    </x:row>
    <x:row r="339">
      <x:c r="A339" s="22" t="str">
        <x:f>IF(B339="","","CP-"&amp;TEXT(ROW()-2,"0000"))</x:f>
      </x:c>
      <x:c r="B339" s="22"/>
      <x:c r="C339" s="26"/>
      <x:c r="D339" s="22"/>
      <x:c r="E339" s="22"/>
      <x:c r="F339" s="22"/>
      <x:c r="G339" s="22"/>
      <x:c r="H339" s="26"/>
      <x:c r="I339" s="22"/>
      <x:c r="J339" s="22"/>
      <x:c r="K339" s="22"/>
      <x:c r="L339" s="22" t="str">
        <x:f>IF(OR(H339="",J339="Состоялась",J339="Отменена"),"",H339-TODAY())</x:f>
      </x:c>
    </x:row>
    <x:row r="340">
      <x:c r="A340" s="22" t="str">
        <x:f>IF(B340="","","CP-"&amp;TEXT(ROW()-2,"0000"))</x:f>
      </x:c>
      <x:c r="B340" s="22"/>
      <x:c r="C340" s="26"/>
      <x:c r="D340" s="22"/>
      <x:c r="E340" s="22"/>
      <x:c r="F340" s="22"/>
      <x:c r="G340" s="22"/>
      <x:c r="H340" s="26"/>
      <x:c r="I340" s="22"/>
      <x:c r="J340" s="22"/>
      <x:c r="K340" s="22"/>
      <x:c r="L340" s="22" t="str">
        <x:f>IF(OR(H340="",J340="Состоялась",J340="Отменена"),"",H340-TODAY())</x:f>
      </x:c>
    </x:row>
    <x:row r="341">
      <x:c r="A341" s="22" t="str">
        <x:f>IF(B341="","","CP-"&amp;TEXT(ROW()-2,"0000"))</x:f>
      </x:c>
      <x:c r="B341" s="22"/>
      <x:c r="C341" s="26"/>
      <x:c r="D341" s="22"/>
      <x:c r="E341" s="22"/>
      <x:c r="F341" s="22"/>
      <x:c r="G341" s="22"/>
      <x:c r="H341" s="26"/>
      <x:c r="I341" s="22"/>
      <x:c r="J341" s="22"/>
      <x:c r="K341" s="22"/>
      <x:c r="L341" s="22" t="str">
        <x:f>IF(OR(H341="",J341="Состоялась",J341="Отменена"),"",H341-TODAY())</x:f>
      </x:c>
    </x:row>
    <x:row r="342">
      <x:c r="A342" s="22" t="str">
        <x:f>IF(B342="","","CP-"&amp;TEXT(ROW()-2,"0000"))</x:f>
      </x:c>
      <x:c r="B342" s="22"/>
      <x:c r="C342" s="26"/>
      <x:c r="D342" s="22"/>
      <x:c r="E342" s="22"/>
      <x:c r="F342" s="22"/>
      <x:c r="G342" s="22"/>
      <x:c r="H342" s="26"/>
      <x:c r="I342" s="22"/>
      <x:c r="J342" s="22"/>
      <x:c r="K342" s="22"/>
      <x:c r="L342" s="22" t="str">
        <x:f>IF(OR(H342="",J342="Состоялась",J342="Отменена"),"",H342-TODAY())</x:f>
      </x:c>
    </x:row>
    <x:row r="343">
      <x:c r="A343" s="22" t="str">
        <x:f>IF(B343="","","CP-"&amp;TEXT(ROW()-2,"0000"))</x:f>
      </x:c>
      <x:c r="B343" s="22"/>
      <x:c r="C343" s="26"/>
      <x:c r="D343" s="22"/>
      <x:c r="E343" s="22"/>
      <x:c r="F343" s="22"/>
      <x:c r="G343" s="22"/>
      <x:c r="H343" s="26"/>
      <x:c r="I343" s="22"/>
      <x:c r="J343" s="22"/>
      <x:c r="K343" s="22"/>
      <x:c r="L343" s="22" t="str">
        <x:f>IF(OR(H343="",J343="Состоялась",J343="Отменена"),"",H343-TODAY())</x:f>
      </x:c>
    </x:row>
    <x:row r="344">
      <x:c r="A344" s="22" t="str">
        <x:f>IF(B344="","","CP-"&amp;TEXT(ROW()-2,"0000"))</x:f>
      </x:c>
      <x:c r="B344" s="22"/>
      <x:c r="C344" s="26"/>
      <x:c r="D344" s="22"/>
      <x:c r="E344" s="22"/>
      <x:c r="F344" s="22"/>
      <x:c r="G344" s="22"/>
      <x:c r="H344" s="26"/>
      <x:c r="I344" s="22"/>
      <x:c r="J344" s="22"/>
      <x:c r="K344" s="22"/>
      <x:c r="L344" s="22" t="str">
        <x:f>IF(OR(H344="",J344="Состоялась",J344="Отменена"),"",H344-TODAY())</x:f>
      </x:c>
    </x:row>
    <x:row r="345">
      <x:c r="A345" s="22" t="str">
        <x:f>IF(B345="","","CP-"&amp;TEXT(ROW()-2,"0000"))</x:f>
      </x:c>
      <x:c r="B345" s="22"/>
      <x:c r="C345" s="26"/>
      <x:c r="D345" s="22"/>
      <x:c r="E345" s="22"/>
      <x:c r="F345" s="22"/>
      <x:c r="G345" s="22"/>
      <x:c r="H345" s="26"/>
      <x:c r="I345" s="22"/>
      <x:c r="J345" s="22"/>
      <x:c r="K345" s="22"/>
      <x:c r="L345" s="22" t="str">
        <x:f>IF(OR(H345="",J345="Состоялась",J345="Отменена"),"",H345-TODAY())</x:f>
      </x:c>
    </x:row>
    <x:row r="346">
      <x:c r="A346" s="22" t="str">
        <x:f>IF(B346="","","CP-"&amp;TEXT(ROW()-2,"0000"))</x:f>
      </x:c>
      <x:c r="B346" s="22"/>
      <x:c r="C346" s="26"/>
      <x:c r="D346" s="22"/>
      <x:c r="E346" s="22"/>
      <x:c r="F346" s="22"/>
      <x:c r="G346" s="22"/>
      <x:c r="H346" s="26"/>
      <x:c r="I346" s="22"/>
      <x:c r="J346" s="22"/>
      <x:c r="K346" s="22"/>
      <x:c r="L346" s="22" t="str">
        <x:f>IF(OR(H346="",J346="Состоялась",J346="Отменена"),"",H346-TODAY())</x:f>
      </x:c>
    </x:row>
    <x:row r="347">
      <x:c r="A347" s="22" t="str">
        <x:f>IF(B347="","","CP-"&amp;TEXT(ROW()-2,"0000"))</x:f>
      </x:c>
      <x:c r="B347" s="22"/>
      <x:c r="C347" s="26"/>
      <x:c r="D347" s="22"/>
      <x:c r="E347" s="22"/>
      <x:c r="F347" s="22"/>
      <x:c r="G347" s="22"/>
      <x:c r="H347" s="26"/>
      <x:c r="I347" s="22"/>
      <x:c r="J347" s="22"/>
      <x:c r="K347" s="22"/>
      <x:c r="L347" s="22" t="str">
        <x:f>IF(OR(H347="",J347="Состоялась",J347="Отменена"),"",H347-TODAY())</x:f>
      </x:c>
    </x:row>
    <x:row r="348">
      <x:c r="A348" s="22" t="str">
        <x:f>IF(B348="","","CP-"&amp;TEXT(ROW()-2,"0000"))</x:f>
      </x:c>
      <x:c r="B348" s="22"/>
      <x:c r="C348" s="26"/>
      <x:c r="D348" s="22"/>
      <x:c r="E348" s="22"/>
      <x:c r="F348" s="22"/>
      <x:c r="G348" s="22"/>
      <x:c r="H348" s="26"/>
      <x:c r="I348" s="22"/>
      <x:c r="J348" s="22"/>
      <x:c r="K348" s="22"/>
      <x:c r="L348" s="22" t="str">
        <x:f>IF(OR(H348="",J348="Состоялась",J348="Отменена"),"",H348-TODAY())</x:f>
      </x:c>
    </x:row>
    <x:row r="349">
      <x:c r="A349" s="22" t="str">
        <x:f>IF(B349="","","CP-"&amp;TEXT(ROW()-2,"0000"))</x:f>
      </x:c>
      <x:c r="B349" s="22"/>
      <x:c r="C349" s="26"/>
      <x:c r="D349" s="22"/>
      <x:c r="E349" s="22"/>
      <x:c r="F349" s="22"/>
      <x:c r="G349" s="22"/>
      <x:c r="H349" s="26"/>
      <x:c r="I349" s="22"/>
      <x:c r="J349" s="22"/>
      <x:c r="K349" s="22"/>
      <x:c r="L349" s="22" t="str">
        <x:f>IF(OR(H349="",J349="Состоялась",J349="Отменена"),"",H349-TODAY())</x:f>
      </x:c>
    </x:row>
    <x:row r="350">
      <x:c r="A350" s="22" t="str">
        <x:f>IF(B350="","","CP-"&amp;TEXT(ROW()-2,"0000"))</x:f>
      </x:c>
      <x:c r="B350" s="22"/>
      <x:c r="C350" s="26"/>
      <x:c r="D350" s="22"/>
      <x:c r="E350" s="22"/>
      <x:c r="F350" s="22"/>
      <x:c r="G350" s="22"/>
      <x:c r="H350" s="26"/>
      <x:c r="I350" s="22"/>
      <x:c r="J350" s="22"/>
      <x:c r="K350" s="22"/>
      <x:c r="L350" s="22" t="str">
        <x:f>IF(OR(H350="",J350="Состоялась",J350="Отменена"),"",H350-TODAY())</x:f>
      </x:c>
    </x:row>
    <x:row r="351">
      <x:c r="A351" s="22" t="str">
        <x:f>IF(B351="","","CP-"&amp;TEXT(ROW()-2,"0000"))</x:f>
      </x:c>
      <x:c r="B351" s="22"/>
      <x:c r="C351" s="26"/>
      <x:c r="D351" s="22"/>
      <x:c r="E351" s="22"/>
      <x:c r="F351" s="22"/>
      <x:c r="G351" s="22"/>
      <x:c r="H351" s="26"/>
      <x:c r="I351" s="22"/>
      <x:c r="J351" s="22"/>
      <x:c r="K351" s="22"/>
      <x:c r="L351" s="22" t="str">
        <x:f>IF(OR(H351="",J351="Состоялась",J351="Отменена"),"",H351-TODAY())</x:f>
      </x:c>
    </x:row>
    <x:row r="352">
      <x:c r="A352" s="22" t="str">
        <x:f>IF(B352="","","CP-"&amp;TEXT(ROW()-2,"0000"))</x:f>
      </x:c>
      <x:c r="B352" s="22"/>
      <x:c r="C352" s="26"/>
      <x:c r="D352" s="22"/>
      <x:c r="E352" s="22"/>
      <x:c r="F352" s="22"/>
      <x:c r="G352" s="22"/>
      <x:c r="H352" s="26"/>
      <x:c r="I352" s="22"/>
      <x:c r="J352" s="22"/>
      <x:c r="K352" s="22"/>
      <x:c r="L352" s="22" t="str">
        <x:f>IF(OR(H352="",J352="Состоялась",J352="Отменена"),"",H352-TODAY())</x:f>
      </x:c>
    </x:row>
    <x:row r="353">
      <x:c r="A353" s="22" t="str">
        <x:f>IF(B353="","","CP-"&amp;TEXT(ROW()-2,"0000"))</x:f>
      </x:c>
      <x:c r="B353" s="22"/>
      <x:c r="C353" s="26"/>
      <x:c r="D353" s="22"/>
      <x:c r="E353" s="22"/>
      <x:c r="F353" s="22"/>
      <x:c r="G353" s="22"/>
      <x:c r="H353" s="26"/>
      <x:c r="I353" s="22"/>
      <x:c r="J353" s="22"/>
      <x:c r="K353" s="22"/>
      <x:c r="L353" s="22" t="str">
        <x:f>IF(OR(H353="",J353="Состоялась",J353="Отменена"),"",H353-TODAY())</x:f>
      </x:c>
    </x:row>
    <x:row r="354">
      <x:c r="A354" s="22" t="str">
        <x:f>IF(B354="","","CP-"&amp;TEXT(ROW()-2,"0000"))</x:f>
      </x:c>
      <x:c r="B354" s="22"/>
      <x:c r="C354" s="26"/>
      <x:c r="D354" s="22"/>
      <x:c r="E354" s="22"/>
      <x:c r="F354" s="22"/>
      <x:c r="G354" s="22"/>
      <x:c r="H354" s="26"/>
      <x:c r="I354" s="22"/>
      <x:c r="J354" s="22"/>
      <x:c r="K354" s="22"/>
      <x:c r="L354" s="22" t="str">
        <x:f>IF(OR(H354="",J354="Состоялась",J354="Отменена"),"",H354-TODAY())</x:f>
      </x:c>
    </x:row>
    <x:row r="355">
      <x:c r="A355" s="22" t="str">
        <x:f>IF(B355="","","CP-"&amp;TEXT(ROW()-2,"0000"))</x:f>
      </x:c>
      <x:c r="B355" s="22"/>
      <x:c r="C355" s="26"/>
      <x:c r="D355" s="22"/>
      <x:c r="E355" s="22"/>
      <x:c r="F355" s="22"/>
      <x:c r="G355" s="22"/>
      <x:c r="H355" s="26"/>
      <x:c r="I355" s="22"/>
      <x:c r="J355" s="22"/>
      <x:c r="K355" s="22"/>
      <x:c r="L355" s="22" t="str">
        <x:f>IF(OR(H355="",J355="Состоялась",J355="Отменена"),"",H355-TODAY())</x:f>
      </x:c>
    </x:row>
    <x:row r="356">
      <x:c r="A356" s="22" t="str">
        <x:f>IF(B356="","","CP-"&amp;TEXT(ROW()-2,"0000"))</x:f>
      </x:c>
      <x:c r="B356" s="22"/>
      <x:c r="C356" s="26"/>
      <x:c r="D356" s="22"/>
      <x:c r="E356" s="22"/>
      <x:c r="F356" s="22"/>
      <x:c r="G356" s="22"/>
      <x:c r="H356" s="26"/>
      <x:c r="I356" s="22"/>
      <x:c r="J356" s="22"/>
      <x:c r="K356" s="22"/>
      <x:c r="L356" s="22" t="str">
        <x:f>IF(OR(H356="",J356="Состоялась",J356="Отменена"),"",H356-TODAY())</x:f>
      </x:c>
    </x:row>
    <x:row r="357">
      <x:c r="A357" s="22" t="str">
        <x:f>IF(B357="","","CP-"&amp;TEXT(ROW()-2,"0000"))</x:f>
      </x:c>
      <x:c r="B357" s="22"/>
      <x:c r="C357" s="26"/>
      <x:c r="D357" s="22"/>
      <x:c r="E357" s="22"/>
      <x:c r="F357" s="22"/>
      <x:c r="G357" s="22"/>
      <x:c r="H357" s="26"/>
      <x:c r="I357" s="22"/>
      <x:c r="J357" s="22"/>
      <x:c r="K357" s="22"/>
      <x:c r="L357" s="22" t="str">
        <x:f>IF(OR(H357="",J357="Состоялась",J357="Отменена"),"",H357-TODAY())</x:f>
      </x:c>
    </x:row>
    <x:row r="358">
      <x:c r="A358" s="22" t="str">
        <x:f>IF(B358="","","CP-"&amp;TEXT(ROW()-2,"0000"))</x:f>
      </x:c>
      <x:c r="B358" s="22"/>
      <x:c r="C358" s="26"/>
      <x:c r="D358" s="22"/>
      <x:c r="E358" s="22"/>
      <x:c r="F358" s="22"/>
      <x:c r="G358" s="22"/>
      <x:c r="H358" s="26"/>
      <x:c r="I358" s="22"/>
      <x:c r="J358" s="22"/>
      <x:c r="K358" s="22"/>
      <x:c r="L358" s="22" t="str">
        <x:f>IF(OR(H358="",J358="Состоялась",J358="Отменена"),"",H358-TODAY())</x:f>
      </x:c>
    </x:row>
    <x:row r="359">
      <x:c r="A359" s="22" t="str">
        <x:f>IF(B359="","","CP-"&amp;TEXT(ROW()-2,"0000"))</x:f>
      </x:c>
      <x:c r="B359" s="22"/>
      <x:c r="C359" s="26"/>
      <x:c r="D359" s="22"/>
      <x:c r="E359" s="22"/>
      <x:c r="F359" s="22"/>
      <x:c r="G359" s="22"/>
      <x:c r="H359" s="26"/>
      <x:c r="I359" s="22"/>
      <x:c r="J359" s="22"/>
      <x:c r="K359" s="22"/>
      <x:c r="L359" s="22" t="str">
        <x:f>IF(OR(H359="",J359="Состоялась",J359="Отменена"),"",H359-TODAY())</x:f>
      </x:c>
    </x:row>
    <x:row r="360">
      <x:c r="A360" s="22" t="str">
        <x:f>IF(B360="","","CP-"&amp;TEXT(ROW()-2,"0000"))</x:f>
      </x:c>
      <x:c r="B360" s="22"/>
      <x:c r="C360" s="26"/>
      <x:c r="D360" s="22"/>
      <x:c r="E360" s="22"/>
      <x:c r="F360" s="22"/>
      <x:c r="G360" s="22"/>
      <x:c r="H360" s="26"/>
      <x:c r="I360" s="22"/>
      <x:c r="J360" s="22"/>
      <x:c r="K360" s="22"/>
      <x:c r="L360" s="22" t="str">
        <x:f>IF(OR(H360="",J360="Состоялась",J360="Отменена"),"",H360-TODAY())</x:f>
      </x:c>
    </x:row>
    <x:row r="361">
      <x:c r="A361" s="22" t="str">
        <x:f>IF(B361="","","CP-"&amp;TEXT(ROW()-2,"0000"))</x:f>
      </x:c>
      <x:c r="B361" s="22"/>
      <x:c r="C361" s="26"/>
      <x:c r="D361" s="22"/>
      <x:c r="E361" s="22"/>
      <x:c r="F361" s="22"/>
      <x:c r="G361" s="22"/>
      <x:c r="H361" s="26"/>
      <x:c r="I361" s="22"/>
      <x:c r="J361" s="22"/>
      <x:c r="K361" s="22"/>
      <x:c r="L361" s="22" t="str">
        <x:f>IF(OR(H361="",J361="Состоялась",J361="Отменена"),"",H361-TODAY())</x:f>
      </x:c>
    </x:row>
    <x:row r="362">
      <x:c r="A362" s="22" t="str">
        <x:f>IF(B362="","","CP-"&amp;TEXT(ROW()-2,"0000"))</x:f>
      </x:c>
      <x:c r="B362" s="22"/>
      <x:c r="C362" s="26"/>
      <x:c r="D362" s="22"/>
      <x:c r="E362" s="22"/>
      <x:c r="F362" s="22"/>
      <x:c r="G362" s="22"/>
      <x:c r="H362" s="26"/>
      <x:c r="I362" s="22"/>
      <x:c r="J362" s="22"/>
      <x:c r="K362" s="22"/>
      <x:c r="L362" s="22" t="str">
        <x:f>IF(OR(H362="",J362="Состоялась",J362="Отменена"),"",H362-TODAY())</x:f>
      </x:c>
    </x:row>
    <x:row r="363">
      <x:c r="A363" s="22" t="str">
        <x:f>IF(B363="","","CP-"&amp;TEXT(ROW()-2,"0000"))</x:f>
      </x:c>
      <x:c r="B363" s="22"/>
      <x:c r="C363" s="26"/>
      <x:c r="D363" s="22"/>
      <x:c r="E363" s="22"/>
      <x:c r="F363" s="22"/>
      <x:c r="G363" s="22"/>
      <x:c r="H363" s="26"/>
      <x:c r="I363" s="22"/>
      <x:c r="J363" s="22"/>
      <x:c r="K363" s="22"/>
      <x:c r="L363" s="22" t="str">
        <x:f>IF(OR(H363="",J363="Состоялась",J363="Отменена"),"",H363-TODAY())</x:f>
      </x:c>
    </x:row>
    <x:row r="364">
      <x:c r="A364" s="22" t="str">
        <x:f>IF(B364="","","CP-"&amp;TEXT(ROW()-2,"0000"))</x:f>
      </x:c>
      <x:c r="B364" s="22"/>
      <x:c r="C364" s="26"/>
      <x:c r="D364" s="22"/>
      <x:c r="E364" s="22"/>
      <x:c r="F364" s="22"/>
      <x:c r="G364" s="22"/>
      <x:c r="H364" s="26"/>
      <x:c r="I364" s="22"/>
      <x:c r="J364" s="22"/>
      <x:c r="K364" s="22"/>
      <x:c r="L364" s="22" t="str">
        <x:f>IF(OR(H364="",J364="Состоялась",J364="Отменена"),"",H364-TODAY())</x:f>
      </x:c>
    </x:row>
    <x:row r="365">
      <x:c r="A365" s="22" t="str">
        <x:f>IF(B365="","","CP-"&amp;TEXT(ROW()-2,"0000"))</x:f>
      </x:c>
      <x:c r="B365" s="22"/>
      <x:c r="C365" s="26"/>
      <x:c r="D365" s="22"/>
      <x:c r="E365" s="22"/>
      <x:c r="F365" s="22"/>
      <x:c r="G365" s="22"/>
      <x:c r="H365" s="26"/>
      <x:c r="I365" s="22"/>
      <x:c r="J365" s="22"/>
      <x:c r="K365" s="22"/>
      <x:c r="L365" s="22" t="str">
        <x:f>IF(OR(H365="",J365="Состоялась",J365="Отменена"),"",H365-TODAY())</x:f>
      </x:c>
    </x:row>
    <x:row r="366">
      <x:c r="A366" s="22" t="str">
        <x:f>IF(B366="","","CP-"&amp;TEXT(ROW()-2,"0000"))</x:f>
      </x:c>
      <x:c r="B366" s="22"/>
      <x:c r="C366" s="26"/>
      <x:c r="D366" s="22"/>
      <x:c r="E366" s="22"/>
      <x:c r="F366" s="22"/>
      <x:c r="G366" s="22"/>
      <x:c r="H366" s="26"/>
      <x:c r="I366" s="22"/>
      <x:c r="J366" s="22"/>
      <x:c r="K366" s="22"/>
      <x:c r="L366" s="22" t="str">
        <x:f>IF(OR(H366="",J366="Состоялась",J366="Отменена"),"",H366-TODAY())</x:f>
      </x:c>
    </x:row>
    <x:row r="367">
      <x:c r="A367" s="22" t="str">
        <x:f>IF(B367="","","CP-"&amp;TEXT(ROW()-2,"0000"))</x:f>
      </x:c>
      <x:c r="B367" s="22"/>
      <x:c r="C367" s="26"/>
      <x:c r="D367" s="22"/>
      <x:c r="E367" s="22"/>
      <x:c r="F367" s="22"/>
      <x:c r="G367" s="22"/>
      <x:c r="H367" s="26"/>
      <x:c r="I367" s="22"/>
      <x:c r="J367" s="22"/>
      <x:c r="K367" s="22"/>
      <x:c r="L367" s="22" t="str">
        <x:f>IF(OR(H367="",J367="Состоялась",J367="Отменена"),"",H367-TODAY())</x:f>
      </x:c>
    </x:row>
    <x:row r="368">
      <x:c r="A368" s="22" t="str">
        <x:f>IF(B368="","","CP-"&amp;TEXT(ROW()-2,"0000"))</x:f>
      </x:c>
      <x:c r="B368" s="22"/>
      <x:c r="C368" s="26"/>
      <x:c r="D368" s="22"/>
      <x:c r="E368" s="22"/>
      <x:c r="F368" s="22"/>
      <x:c r="G368" s="22"/>
      <x:c r="H368" s="26"/>
      <x:c r="I368" s="22"/>
      <x:c r="J368" s="22"/>
      <x:c r="K368" s="22"/>
      <x:c r="L368" s="22" t="str">
        <x:f>IF(OR(H368="",J368="Состоялась",J368="Отменена"),"",H368-TODAY())</x:f>
      </x:c>
    </x:row>
    <x:row r="369">
      <x:c r="A369" s="22" t="str">
        <x:f>IF(B369="","","CP-"&amp;TEXT(ROW()-2,"0000"))</x:f>
      </x:c>
      <x:c r="B369" s="22"/>
      <x:c r="C369" s="26"/>
      <x:c r="D369" s="22"/>
      <x:c r="E369" s="22"/>
      <x:c r="F369" s="22"/>
      <x:c r="G369" s="22"/>
      <x:c r="H369" s="26"/>
      <x:c r="I369" s="22"/>
      <x:c r="J369" s="22"/>
      <x:c r="K369" s="22"/>
      <x:c r="L369" s="22" t="str">
        <x:f>IF(OR(H369="",J369="Состоялась",J369="Отменена"),"",H369-TODAY())</x:f>
      </x:c>
    </x:row>
    <x:row r="370">
      <x:c r="A370" s="22" t="str">
        <x:f>IF(B370="","","CP-"&amp;TEXT(ROW()-2,"0000"))</x:f>
      </x:c>
      <x:c r="B370" s="22"/>
      <x:c r="C370" s="26"/>
      <x:c r="D370" s="22"/>
      <x:c r="E370" s="22"/>
      <x:c r="F370" s="22"/>
      <x:c r="G370" s="22"/>
      <x:c r="H370" s="26"/>
      <x:c r="I370" s="22"/>
      <x:c r="J370" s="22"/>
      <x:c r="K370" s="22"/>
      <x:c r="L370" s="22" t="str">
        <x:f>IF(OR(H370="",J370="Состоялась",J370="Отменена"),"",H370-TODAY())</x:f>
      </x:c>
    </x:row>
    <x:row r="371">
      <x:c r="A371" s="22" t="str">
        <x:f>IF(B371="","","CP-"&amp;TEXT(ROW()-2,"0000"))</x:f>
      </x:c>
      <x:c r="B371" s="22"/>
      <x:c r="C371" s="26"/>
      <x:c r="D371" s="22"/>
      <x:c r="E371" s="22"/>
      <x:c r="F371" s="22"/>
      <x:c r="G371" s="22"/>
      <x:c r="H371" s="26"/>
      <x:c r="I371" s="22"/>
      <x:c r="J371" s="22"/>
      <x:c r="K371" s="22"/>
      <x:c r="L371" s="22" t="str">
        <x:f>IF(OR(H371="",J371="Состоялась",J371="Отменена"),"",H371-TODAY())</x:f>
      </x:c>
    </x:row>
    <x:row r="372">
      <x:c r="A372" s="22" t="str">
        <x:f>IF(B372="","","CP-"&amp;TEXT(ROW()-2,"0000"))</x:f>
      </x:c>
      <x:c r="B372" s="22"/>
      <x:c r="C372" s="26"/>
      <x:c r="D372" s="22"/>
      <x:c r="E372" s="22"/>
      <x:c r="F372" s="22"/>
      <x:c r="G372" s="22"/>
      <x:c r="H372" s="26"/>
      <x:c r="I372" s="22"/>
      <x:c r="J372" s="22"/>
      <x:c r="K372" s="22"/>
      <x:c r="L372" s="22" t="str">
        <x:f>IF(OR(H372="",J372="Состоялась",J372="Отменена"),"",H372-TODAY())</x:f>
      </x:c>
    </x:row>
    <x:row r="373">
      <x:c r="A373" s="22" t="str">
        <x:f>IF(B373="","","CP-"&amp;TEXT(ROW()-2,"0000"))</x:f>
      </x:c>
      <x:c r="B373" s="22"/>
      <x:c r="C373" s="26"/>
      <x:c r="D373" s="22"/>
      <x:c r="E373" s="22"/>
      <x:c r="F373" s="22"/>
      <x:c r="G373" s="22"/>
      <x:c r="H373" s="26"/>
      <x:c r="I373" s="22"/>
      <x:c r="J373" s="22"/>
      <x:c r="K373" s="22"/>
      <x:c r="L373" s="22" t="str">
        <x:f>IF(OR(H373="",J373="Состоялась",J373="Отменена"),"",H373-TODAY())</x:f>
      </x:c>
    </x:row>
    <x:row r="374">
      <x:c r="A374" s="22" t="str">
        <x:f>IF(B374="","","CP-"&amp;TEXT(ROW()-2,"0000"))</x:f>
      </x:c>
      <x:c r="B374" s="22"/>
      <x:c r="C374" s="26"/>
      <x:c r="D374" s="22"/>
      <x:c r="E374" s="22"/>
      <x:c r="F374" s="22"/>
      <x:c r="G374" s="22"/>
      <x:c r="H374" s="26"/>
      <x:c r="I374" s="22"/>
      <x:c r="J374" s="22"/>
      <x:c r="K374" s="22"/>
      <x:c r="L374" s="22" t="str">
        <x:f>IF(OR(H374="",J374="Состоялась",J374="Отменена"),"",H374-TODAY())</x:f>
      </x:c>
    </x:row>
    <x:row r="375">
      <x:c r="A375" s="22" t="str">
        <x:f>IF(B375="","","CP-"&amp;TEXT(ROW()-2,"0000"))</x:f>
      </x:c>
      <x:c r="B375" s="22"/>
      <x:c r="C375" s="26"/>
      <x:c r="D375" s="22"/>
      <x:c r="E375" s="22"/>
      <x:c r="F375" s="22"/>
      <x:c r="G375" s="22"/>
      <x:c r="H375" s="26"/>
      <x:c r="I375" s="22"/>
      <x:c r="J375" s="22"/>
      <x:c r="K375" s="22"/>
      <x:c r="L375" s="22" t="str">
        <x:f>IF(OR(H375="",J375="Состоялась",J375="Отменена"),"",H375-TODAY())</x:f>
      </x:c>
    </x:row>
    <x:row r="376">
      <x:c r="A376" s="22" t="str">
        <x:f>IF(B376="","","CP-"&amp;TEXT(ROW()-2,"0000"))</x:f>
      </x:c>
      <x:c r="B376" s="22"/>
      <x:c r="C376" s="26"/>
      <x:c r="D376" s="22"/>
      <x:c r="E376" s="22"/>
      <x:c r="F376" s="22"/>
      <x:c r="G376" s="22"/>
      <x:c r="H376" s="26"/>
      <x:c r="I376" s="22"/>
      <x:c r="J376" s="22"/>
      <x:c r="K376" s="22"/>
      <x:c r="L376" s="22" t="str">
        <x:f>IF(OR(H376="",J376="Состоялась",J376="Отменена"),"",H376-TODAY())</x:f>
      </x:c>
    </x:row>
    <x:row r="377">
      <x:c r="A377" s="22" t="str">
        <x:f>IF(B377="","","CP-"&amp;TEXT(ROW()-2,"0000"))</x:f>
      </x:c>
      <x:c r="B377" s="22"/>
      <x:c r="C377" s="26"/>
      <x:c r="D377" s="22"/>
      <x:c r="E377" s="22"/>
      <x:c r="F377" s="22"/>
      <x:c r="G377" s="22"/>
      <x:c r="H377" s="26"/>
      <x:c r="I377" s="22"/>
      <x:c r="J377" s="22"/>
      <x:c r="K377" s="22"/>
      <x:c r="L377" s="22" t="str">
        <x:f>IF(OR(H377="",J377="Состоялась",J377="Отменена"),"",H377-TODAY())</x:f>
      </x:c>
    </x:row>
    <x:row r="378">
      <x:c r="A378" s="22" t="str">
        <x:f>IF(B378="","","CP-"&amp;TEXT(ROW()-2,"0000"))</x:f>
      </x:c>
      <x:c r="B378" s="22"/>
      <x:c r="C378" s="26"/>
      <x:c r="D378" s="22"/>
      <x:c r="E378" s="22"/>
      <x:c r="F378" s="22"/>
      <x:c r="G378" s="22"/>
      <x:c r="H378" s="26"/>
      <x:c r="I378" s="22"/>
      <x:c r="J378" s="22"/>
      <x:c r="K378" s="22"/>
      <x:c r="L378" s="22" t="str">
        <x:f>IF(OR(H378="",J378="Состоялась",J378="Отменена"),"",H378-TODAY())</x:f>
      </x:c>
    </x:row>
    <x:row r="379">
      <x:c r="A379" s="22" t="str">
        <x:f>IF(B379="","","CP-"&amp;TEXT(ROW()-2,"0000"))</x:f>
      </x:c>
      <x:c r="B379" s="22"/>
      <x:c r="C379" s="26"/>
      <x:c r="D379" s="22"/>
      <x:c r="E379" s="22"/>
      <x:c r="F379" s="22"/>
      <x:c r="G379" s="22"/>
      <x:c r="H379" s="26"/>
      <x:c r="I379" s="22"/>
      <x:c r="J379" s="22"/>
      <x:c r="K379" s="22"/>
      <x:c r="L379" s="22" t="str">
        <x:f>IF(OR(H379="",J379="Состоялась",J379="Отменена"),"",H379-TODAY())</x:f>
      </x:c>
    </x:row>
    <x:row r="380">
      <x:c r="A380" s="22" t="str">
        <x:f>IF(B380="","","CP-"&amp;TEXT(ROW()-2,"0000"))</x:f>
      </x:c>
      <x:c r="B380" s="22"/>
      <x:c r="C380" s="26"/>
      <x:c r="D380" s="22"/>
      <x:c r="E380" s="22"/>
      <x:c r="F380" s="22"/>
      <x:c r="G380" s="22"/>
      <x:c r="H380" s="26"/>
      <x:c r="I380" s="22"/>
      <x:c r="J380" s="22"/>
      <x:c r="K380" s="22"/>
      <x:c r="L380" s="22" t="str">
        <x:f>IF(OR(H380="",J380="Состоялась",J380="Отменена"),"",H380-TODAY())</x:f>
      </x:c>
    </x:row>
    <x:row r="381">
      <x:c r="A381" s="22" t="str">
        <x:f>IF(B381="","","CP-"&amp;TEXT(ROW()-2,"0000"))</x:f>
      </x:c>
      <x:c r="B381" s="22"/>
      <x:c r="C381" s="26"/>
      <x:c r="D381" s="22"/>
      <x:c r="E381" s="22"/>
      <x:c r="F381" s="22"/>
      <x:c r="G381" s="22"/>
      <x:c r="H381" s="26"/>
      <x:c r="I381" s="22"/>
      <x:c r="J381" s="22"/>
      <x:c r="K381" s="22"/>
      <x:c r="L381" s="22" t="str">
        <x:f>IF(OR(H381="",J381="Состоялась",J381="Отменена"),"",H381-TODAY())</x:f>
      </x:c>
    </x:row>
    <x:row r="382">
      <x:c r="A382" s="22" t="str">
        <x:f>IF(B382="","","CP-"&amp;TEXT(ROW()-2,"0000"))</x:f>
      </x:c>
      <x:c r="B382" s="22"/>
      <x:c r="C382" s="26"/>
      <x:c r="D382" s="22"/>
      <x:c r="E382" s="22"/>
      <x:c r="F382" s="22"/>
      <x:c r="G382" s="22"/>
      <x:c r="H382" s="26"/>
      <x:c r="I382" s="22"/>
      <x:c r="J382" s="22"/>
      <x:c r="K382" s="22"/>
      <x:c r="L382" s="22" t="str">
        <x:f>IF(OR(H382="",J382="Состоялась",J382="Отменена"),"",H382-TODAY())</x:f>
      </x:c>
    </x:row>
    <x:row r="383">
      <x:c r="A383" s="22" t="str">
        <x:f>IF(B383="","","CP-"&amp;TEXT(ROW()-2,"0000"))</x:f>
      </x:c>
      <x:c r="B383" s="22"/>
      <x:c r="C383" s="26"/>
      <x:c r="D383" s="22"/>
      <x:c r="E383" s="22"/>
      <x:c r="F383" s="22"/>
      <x:c r="G383" s="22"/>
      <x:c r="H383" s="26"/>
      <x:c r="I383" s="22"/>
      <x:c r="J383" s="22"/>
      <x:c r="K383" s="22"/>
      <x:c r="L383" s="22" t="str">
        <x:f>IF(OR(H383="",J383="Состоялась",J383="Отменена"),"",H383-TODAY())</x:f>
      </x:c>
    </x:row>
    <x:row r="384">
      <x:c r="A384" s="22" t="str">
        <x:f>IF(B384="","","CP-"&amp;TEXT(ROW()-2,"0000"))</x:f>
      </x:c>
      <x:c r="B384" s="22"/>
      <x:c r="C384" s="26"/>
      <x:c r="D384" s="22"/>
      <x:c r="E384" s="22"/>
      <x:c r="F384" s="22"/>
      <x:c r="G384" s="22"/>
      <x:c r="H384" s="26"/>
      <x:c r="I384" s="22"/>
      <x:c r="J384" s="22"/>
      <x:c r="K384" s="22"/>
      <x:c r="L384" s="22" t="str">
        <x:f>IF(OR(H384="",J384="Состоялась",J384="Отменена"),"",H384-TODAY())</x:f>
      </x:c>
    </x:row>
    <x:row r="385">
      <x:c r="A385" s="22" t="str">
        <x:f>IF(B385="","","CP-"&amp;TEXT(ROW()-2,"0000"))</x:f>
      </x:c>
      <x:c r="B385" s="22"/>
      <x:c r="C385" s="26"/>
      <x:c r="D385" s="22"/>
      <x:c r="E385" s="22"/>
      <x:c r="F385" s="22"/>
      <x:c r="G385" s="22"/>
      <x:c r="H385" s="26"/>
      <x:c r="I385" s="22"/>
      <x:c r="J385" s="22"/>
      <x:c r="K385" s="22"/>
      <x:c r="L385" s="22" t="str">
        <x:f>IF(OR(H385="",J385="Состоялась",J385="Отменена"),"",H385-TODAY())</x:f>
      </x:c>
    </x:row>
    <x:row r="386">
      <x:c r="A386" s="22" t="str">
        <x:f>IF(B386="","","CP-"&amp;TEXT(ROW()-2,"0000"))</x:f>
      </x:c>
      <x:c r="B386" s="22"/>
      <x:c r="C386" s="26"/>
      <x:c r="D386" s="22"/>
      <x:c r="E386" s="22"/>
      <x:c r="F386" s="22"/>
      <x:c r="G386" s="22"/>
      <x:c r="H386" s="26"/>
      <x:c r="I386" s="22"/>
      <x:c r="J386" s="22"/>
      <x:c r="K386" s="22"/>
      <x:c r="L386" s="22" t="str">
        <x:f>IF(OR(H386="",J386="Состоялась",J386="Отменена"),"",H386-TODAY())</x:f>
      </x:c>
    </x:row>
    <x:row r="387">
      <x:c r="A387" s="22" t="str">
        <x:f>IF(B387="","","CP-"&amp;TEXT(ROW()-2,"0000"))</x:f>
      </x:c>
      <x:c r="B387" s="22"/>
      <x:c r="C387" s="26"/>
      <x:c r="D387" s="22"/>
      <x:c r="E387" s="22"/>
      <x:c r="F387" s="22"/>
      <x:c r="G387" s="22"/>
      <x:c r="H387" s="26"/>
      <x:c r="I387" s="22"/>
      <x:c r="J387" s="22"/>
      <x:c r="K387" s="22"/>
      <x:c r="L387" s="22" t="str">
        <x:f>IF(OR(H387="",J387="Состоялась",J387="Отменена"),"",H387-TODAY())</x:f>
      </x:c>
    </x:row>
    <x:row r="388">
      <x:c r="A388" s="22" t="str">
        <x:f>IF(B388="","","CP-"&amp;TEXT(ROW()-2,"0000"))</x:f>
      </x:c>
      <x:c r="B388" s="22"/>
      <x:c r="C388" s="26"/>
      <x:c r="D388" s="22"/>
      <x:c r="E388" s="22"/>
      <x:c r="F388" s="22"/>
      <x:c r="G388" s="22"/>
      <x:c r="H388" s="26"/>
      <x:c r="I388" s="22"/>
      <x:c r="J388" s="22"/>
      <x:c r="K388" s="22"/>
      <x:c r="L388" s="22" t="str">
        <x:f>IF(OR(H388="",J388="Состоялась",J388="Отменена"),"",H388-TODAY())</x:f>
      </x:c>
    </x:row>
    <x:row r="389">
      <x:c r="A389" s="22" t="str">
        <x:f>IF(B389="","","CP-"&amp;TEXT(ROW()-2,"0000"))</x:f>
      </x:c>
      <x:c r="B389" s="22"/>
      <x:c r="C389" s="26"/>
      <x:c r="D389" s="22"/>
      <x:c r="E389" s="22"/>
      <x:c r="F389" s="22"/>
      <x:c r="G389" s="22"/>
      <x:c r="H389" s="26"/>
      <x:c r="I389" s="22"/>
      <x:c r="J389" s="22"/>
      <x:c r="K389" s="22"/>
      <x:c r="L389" s="22" t="str">
        <x:f>IF(OR(H389="",J389="Состоялась",J389="Отменена"),"",H389-TODAY())</x:f>
      </x:c>
    </x:row>
    <x:row r="390">
      <x:c r="A390" s="22" t="str">
        <x:f>IF(B390="","","CP-"&amp;TEXT(ROW()-2,"0000"))</x:f>
      </x:c>
      <x:c r="B390" s="22"/>
      <x:c r="C390" s="26"/>
      <x:c r="D390" s="22"/>
      <x:c r="E390" s="22"/>
      <x:c r="F390" s="22"/>
      <x:c r="G390" s="22"/>
      <x:c r="H390" s="26"/>
      <x:c r="I390" s="22"/>
      <x:c r="J390" s="22"/>
      <x:c r="K390" s="22"/>
      <x:c r="L390" s="22" t="str">
        <x:f>IF(OR(H390="",J390="Состоялась",J390="Отменена"),"",H390-TODAY())</x:f>
      </x:c>
    </x:row>
    <x:row r="391">
      <x:c r="A391" s="22" t="str">
        <x:f>IF(B391="","","CP-"&amp;TEXT(ROW()-2,"0000"))</x:f>
      </x:c>
      <x:c r="B391" s="22"/>
      <x:c r="C391" s="26"/>
      <x:c r="D391" s="22"/>
      <x:c r="E391" s="22"/>
      <x:c r="F391" s="22"/>
      <x:c r="G391" s="22"/>
      <x:c r="H391" s="26"/>
      <x:c r="I391" s="22"/>
      <x:c r="J391" s="22"/>
      <x:c r="K391" s="22"/>
      <x:c r="L391" s="22" t="str">
        <x:f>IF(OR(H391="",J391="Состоялась",J391="Отменена"),"",H391-TODAY())</x:f>
      </x:c>
    </x:row>
    <x:row r="392">
      <x:c r="A392" s="22" t="str">
        <x:f>IF(B392="","","CP-"&amp;TEXT(ROW()-2,"0000"))</x:f>
      </x:c>
      <x:c r="B392" s="22"/>
      <x:c r="C392" s="26"/>
      <x:c r="D392" s="22"/>
      <x:c r="E392" s="22"/>
      <x:c r="F392" s="22"/>
      <x:c r="G392" s="22"/>
      <x:c r="H392" s="26"/>
      <x:c r="I392" s="22"/>
      <x:c r="J392" s="22"/>
      <x:c r="K392" s="22"/>
      <x:c r="L392" s="22" t="str">
        <x:f>IF(OR(H392="",J392="Состоялась",J392="Отменена"),"",H392-TODAY())</x:f>
      </x:c>
    </x:row>
    <x:row r="393">
      <x:c r="A393" s="22" t="str">
        <x:f>IF(B393="","","CP-"&amp;TEXT(ROW()-2,"0000"))</x:f>
      </x:c>
      <x:c r="B393" s="22"/>
      <x:c r="C393" s="26"/>
      <x:c r="D393" s="22"/>
      <x:c r="E393" s="22"/>
      <x:c r="F393" s="22"/>
      <x:c r="G393" s="22"/>
      <x:c r="H393" s="26"/>
      <x:c r="I393" s="22"/>
      <x:c r="J393" s="22"/>
      <x:c r="K393" s="22"/>
      <x:c r="L393" s="22" t="str">
        <x:f>IF(OR(H393="",J393="Состоялась",J393="Отменена"),"",H393-TODAY())</x:f>
      </x:c>
    </x:row>
    <x:row r="394">
      <x:c r="A394" s="22" t="str">
        <x:f>IF(B394="","","CP-"&amp;TEXT(ROW()-2,"0000"))</x:f>
      </x:c>
      <x:c r="B394" s="22"/>
      <x:c r="C394" s="26"/>
      <x:c r="D394" s="22"/>
      <x:c r="E394" s="22"/>
      <x:c r="F394" s="22"/>
      <x:c r="G394" s="22"/>
      <x:c r="H394" s="26"/>
      <x:c r="I394" s="22"/>
      <x:c r="J394" s="22"/>
      <x:c r="K394" s="22"/>
      <x:c r="L394" s="22" t="str">
        <x:f>IF(OR(H394="",J394="Состоялась",J394="Отменена"),"",H394-TODAY())</x:f>
      </x:c>
    </x:row>
    <x:row r="395">
      <x:c r="A395" s="22" t="str">
        <x:f>IF(B395="","","CP-"&amp;TEXT(ROW()-2,"0000"))</x:f>
      </x:c>
      <x:c r="B395" s="22"/>
      <x:c r="C395" s="26"/>
      <x:c r="D395" s="22"/>
      <x:c r="E395" s="22"/>
      <x:c r="F395" s="22"/>
      <x:c r="G395" s="22"/>
      <x:c r="H395" s="26"/>
      <x:c r="I395" s="22"/>
      <x:c r="J395" s="22"/>
      <x:c r="K395" s="22"/>
      <x:c r="L395" s="22" t="str">
        <x:f>IF(OR(H395="",J395="Состоялась",J395="Отменена"),"",H395-TODAY())</x:f>
      </x:c>
    </x:row>
    <x:row r="396">
      <x:c r="A396" s="22" t="str">
        <x:f>IF(B396="","","CP-"&amp;TEXT(ROW()-2,"0000"))</x:f>
      </x:c>
      <x:c r="B396" s="22"/>
      <x:c r="C396" s="26"/>
      <x:c r="D396" s="22"/>
      <x:c r="E396" s="22"/>
      <x:c r="F396" s="22"/>
      <x:c r="G396" s="22"/>
      <x:c r="H396" s="26"/>
      <x:c r="I396" s="22"/>
      <x:c r="J396" s="22"/>
      <x:c r="K396" s="22"/>
      <x:c r="L396" s="22" t="str">
        <x:f>IF(OR(H396="",J396="Состоялась",J396="Отменена"),"",H396-TODAY())</x:f>
      </x:c>
    </x:row>
    <x:row r="397">
      <x:c r="A397" s="22" t="str">
        <x:f>IF(B397="","","CP-"&amp;TEXT(ROW()-2,"0000"))</x:f>
      </x:c>
      <x:c r="B397" s="22"/>
      <x:c r="C397" s="26"/>
      <x:c r="D397" s="22"/>
      <x:c r="E397" s="22"/>
      <x:c r="F397" s="22"/>
      <x:c r="G397" s="22"/>
      <x:c r="H397" s="26"/>
      <x:c r="I397" s="22"/>
      <x:c r="J397" s="22"/>
      <x:c r="K397" s="22"/>
      <x:c r="L397" s="22" t="str">
        <x:f>IF(OR(H397="",J397="Состоялась",J397="Отменена"),"",H397-TODAY())</x:f>
      </x:c>
    </x:row>
    <x:row r="398">
      <x:c r="A398" s="22" t="str">
        <x:f>IF(B398="","","CP-"&amp;TEXT(ROW()-2,"0000"))</x:f>
      </x:c>
      <x:c r="B398" s="22"/>
      <x:c r="C398" s="26"/>
      <x:c r="D398" s="22"/>
      <x:c r="E398" s="22"/>
      <x:c r="F398" s="22"/>
      <x:c r="G398" s="22"/>
      <x:c r="H398" s="26"/>
      <x:c r="I398" s="22"/>
      <x:c r="J398" s="22"/>
      <x:c r="K398" s="22"/>
      <x:c r="L398" s="22" t="str">
        <x:f>IF(OR(H398="",J398="Состоялась",J398="Отменена"),"",H398-TODAY())</x:f>
      </x:c>
    </x:row>
    <x:row r="399">
      <x:c r="A399" s="22" t="str">
        <x:f>IF(B399="","","CP-"&amp;TEXT(ROW()-2,"0000"))</x:f>
      </x:c>
      <x:c r="B399" s="22"/>
      <x:c r="C399" s="26"/>
      <x:c r="D399" s="22"/>
      <x:c r="E399" s="22"/>
      <x:c r="F399" s="22"/>
      <x:c r="G399" s="22"/>
      <x:c r="H399" s="26"/>
      <x:c r="I399" s="22"/>
      <x:c r="J399" s="22"/>
      <x:c r="K399" s="22"/>
      <x:c r="L399" s="22" t="str">
        <x:f>IF(OR(H399="",J399="Состоялась",J399="Отменена"),"",H399-TODAY())</x:f>
      </x:c>
    </x:row>
    <x:row r="400">
      <x:c r="A400" s="22" t="str">
        <x:f>IF(B400="","","CP-"&amp;TEXT(ROW()-2,"0000"))</x:f>
      </x:c>
      <x:c r="B400" s="22"/>
      <x:c r="C400" s="26"/>
      <x:c r="D400" s="22"/>
      <x:c r="E400" s="22"/>
      <x:c r="F400" s="22"/>
      <x:c r="G400" s="22"/>
      <x:c r="H400" s="26"/>
      <x:c r="I400" s="22"/>
      <x:c r="J400" s="22"/>
      <x:c r="K400" s="22"/>
      <x:c r="L400" s="22" t="str">
        <x:f>IF(OR(H400="",J400="Состоялась",J400="Отменена"),"",H400-TODAY())</x:f>
      </x:c>
    </x:row>
    <x:row r="401">
      <x:c r="A401" s="22" t="str">
        <x:f>IF(B401="","","CP-"&amp;TEXT(ROW()-2,"0000"))</x:f>
      </x:c>
      <x:c r="B401" s="22"/>
      <x:c r="C401" s="26"/>
      <x:c r="D401" s="22"/>
      <x:c r="E401" s="22"/>
      <x:c r="F401" s="22"/>
      <x:c r="G401" s="22"/>
      <x:c r="H401" s="26"/>
      <x:c r="I401" s="22"/>
      <x:c r="J401" s="22"/>
      <x:c r="K401" s="22"/>
      <x:c r="L401" s="22" t="str">
        <x:f>IF(OR(H401="",J401="Состоялась",J401="Отменена"),"",H401-TODAY())</x:f>
      </x:c>
    </x:row>
    <x:row r="402">
      <x:c r="A402" s="22" t="str">
        <x:f>IF(B402="","","CP-"&amp;TEXT(ROW()-2,"0000"))</x:f>
      </x:c>
      <x:c r="B402" s="22"/>
      <x:c r="C402" s="26"/>
      <x:c r="D402" s="22"/>
      <x:c r="E402" s="22"/>
      <x:c r="F402" s="22"/>
      <x:c r="G402" s="22"/>
      <x:c r="H402" s="26"/>
      <x:c r="I402" s="22"/>
      <x:c r="J402" s="22"/>
      <x:c r="K402" s="22"/>
      <x:c r="L402" s="22" t="str">
        <x:f>IF(OR(H402="",J402="Состоялась",J402="Отменена"),"",H402-TODAY())</x:f>
      </x:c>
    </x:row>
    <x:row r="403">
      <x:c r="A403" s="22" t="str">
        <x:f>IF(B403="","","CP-"&amp;TEXT(ROW()-2,"0000"))</x:f>
      </x:c>
      <x:c r="B403" s="22"/>
      <x:c r="C403" s="26"/>
      <x:c r="D403" s="22"/>
      <x:c r="E403" s="22"/>
      <x:c r="F403" s="22"/>
      <x:c r="G403" s="22"/>
      <x:c r="H403" s="26"/>
      <x:c r="I403" s="22"/>
      <x:c r="J403" s="22"/>
      <x:c r="K403" s="22"/>
      <x:c r="L403" s="22" t="str">
        <x:f>IF(OR(H403="",J403="Состоялась",J403="Отменена"),"",H403-TODAY())</x:f>
      </x:c>
    </x:row>
    <x:row r="404">
      <x:c r="A404" s="22" t="str">
        <x:f>IF(B404="","","CP-"&amp;TEXT(ROW()-2,"0000"))</x:f>
      </x:c>
      <x:c r="B404" s="22"/>
      <x:c r="C404" s="26"/>
      <x:c r="D404" s="22"/>
      <x:c r="E404" s="22"/>
      <x:c r="F404" s="22"/>
      <x:c r="G404" s="22"/>
      <x:c r="H404" s="26"/>
      <x:c r="I404" s="22"/>
      <x:c r="J404" s="22"/>
      <x:c r="K404" s="22"/>
      <x:c r="L404" s="22" t="str">
        <x:f>IF(OR(H404="",J404="Состоялась",J404="Отменена"),"",H404-TODAY())</x:f>
      </x:c>
    </x:row>
    <x:row r="405">
      <x:c r="A405" s="22" t="str">
        <x:f>IF(B405="","","CP-"&amp;TEXT(ROW()-2,"0000"))</x:f>
      </x:c>
      <x:c r="B405" s="22"/>
      <x:c r="C405" s="26"/>
      <x:c r="D405" s="22"/>
      <x:c r="E405" s="22"/>
      <x:c r="F405" s="22"/>
      <x:c r="G405" s="22"/>
      <x:c r="H405" s="26"/>
      <x:c r="I405" s="22"/>
      <x:c r="J405" s="22"/>
      <x:c r="K405" s="22"/>
      <x:c r="L405" s="22" t="str">
        <x:f>IF(OR(H405="",J405="Состоялась",J405="Отменена"),"",H405-TODAY())</x:f>
      </x:c>
    </x:row>
    <x:row r="406">
      <x:c r="A406" s="22" t="str">
        <x:f>IF(B406="","","CP-"&amp;TEXT(ROW()-2,"0000"))</x:f>
      </x:c>
      <x:c r="B406" s="22"/>
      <x:c r="C406" s="26"/>
      <x:c r="D406" s="22"/>
      <x:c r="E406" s="22"/>
      <x:c r="F406" s="22"/>
      <x:c r="G406" s="22"/>
      <x:c r="H406" s="26"/>
      <x:c r="I406" s="22"/>
      <x:c r="J406" s="22"/>
      <x:c r="K406" s="22"/>
      <x:c r="L406" s="22" t="str">
        <x:f>IF(OR(H406="",J406="Состоялась",J406="Отменена"),"",H406-TODAY())</x:f>
      </x:c>
    </x:row>
    <x:row r="407">
      <x:c r="A407" s="22" t="str">
        <x:f>IF(B407="","","CP-"&amp;TEXT(ROW()-2,"0000"))</x:f>
      </x:c>
      <x:c r="B407" s="22"/>
      <x:c r="C407" s="26"/>
      <x:c r="D407" s="22"/>
      <x:c r="E407" s="22"/>
      <x:c r="F407" s="22"/>
      <x:c r="G407" s="22"/>
      <x:c r="H407" s="26"/>
      <x:c r="I407" s="22"/>
      <x:c r="J407" s="22"/>
      <x:c r="K407" s="22"/>
      <x:c r="L407" s="22" t="str">
        <x:f>IF(OR(H407="",J407="Состоялась",J407="Отменена"),"",H407-TODAY())</x:f>
      </x:c>
    </x:row>
    <x:row r="408">
      <x:c r="A408" s="22" t="str">
        <x:f>IF(B408="","","CP-"&amp;TEXT(ROW()-2,"0000"))</x:f>
      </x:c>
      <x:c r="B408" s="22"/>
      <x:c r="C408" s="26"/>
      <x:c r="D408" s="22"/>
      <x:c r="E408" s="22"/>
      <x:c r="F408" s="22"/>
      <x:c r="G408" s="22"/>
      <x:c r="H408" s="26"/>
      <x:c r="I408" s="22"/>
      <x:c r="J408" s="22"/>
      <x:c r="K408" s="22"/>
      <x:c r="L408" s="22" t="str">
        <x:f>IF(OR(H408="",J408="Состоялась",J408="Отменена"),"",H408-TODAY())</x:f>
      </x:c>
    </x:row>
    <x:row r="409">
      <x:c r="A409" s="22" t="str">
        <x:f>IF(B409="","","CP-"&amp;TEXT(ROW()-2,"0000"))</x:f>
      </x:c>
      <x:c r="B409" s="22"/>
      <x:c r="C409" s="26"/>
      <x:c r="D409" s="22"/>
      <x:c r="E409" s="22"/>
      <x:c r="F409" s="22"/>
      <x:c r="G409" s="22"/>
      <x:c r="H409" s="26"/>
      <x:c r="I409" s="22"/>
      <x:c r="J409" s="22"/>
      <x:c r="K409" s="22"/>
      <x:c r="L409" s="22" t="str">
        <x:f>IF(OR(H409="",J409="Состоялась",J409="Отменена"),"",H409-TODAY())</x:f>
      </x:c>
    </x:row>
    <x:row r="410">
      <x:c r="A410" s="22" t="str">
        <x:f>IF(B410="","","CP-"&amp;TEXT(ROW()-2,"0000"))</x:f>
      </x:c>
      <x:c r="B410" s="22"/>
      <x:c r="C410" s="26"/>
      <x:c r="D410" s="22"/>
      <x:c r="E410" s="22"/>
      <x:c r="F410" s="22"/>
      <x:c r="G410" s="22"/>
      <x:c r="H410" s="26"/>
      <x:c r="I410" s="22"/>
      <x:c r="J410" s="22"/>
      <x:c r="K410" s="22"/>
      <x:c r="L410" s="22" t="str">
        <x:f>IF(OR(H410="",J410="Состоялась",J410="Отменена"),"",H410-TODAY())</x:f>
      </x:c>
    </x:row>
    <x:row r="411">
      <x:c r="A411" s="22" t="str">
        <x:f>IF(B411="","","CP-"&amp;TEXT(ROW()-2,"0000"))</x:f>
      </x:c>
      <x:c r="B411" s="22"/>
      <x:c r="C411" s="26"/>
      <x:c r="D411" s="22"/>
      <x:c r="E411" s="22"/>
      <x:c r="F411" s="22"/>
      <x:c r="G411" s="22"/>
      <x:c r="H411" s="26"/>
      <x:c r="I411" s="22"/>
      <x:c r="J411" s="22"/>
      <x:c r="K411" s="22"/>
      <x:c r="L411" s="22" t="str">
        <x:f>IF(OR(H411="",J411="Состоялась",J411="Отменена"),"",H411-TODAY())</x:f>
      </x:c>
    </x:row>
    <x:row r="412">
      <x:c r="A412" s="22" t="str">
        <x:f>IF(B412="","","CP-"&amp;TEXT(ROW()-2,"0000"))</x:f>
      </x:c>
      <x:c r="B412" s="22"/>
      <x:c r="C412" s="26"/>
      <x:c r="D412" s="22"/>
      <x:c r="E412" s="22"/>
      <x:c r="F412" s="22"/>
      <x:c r="G412" s="22"/>
      <x:c r="H412" s="26"/>
      <x:c r="I412" s="22"/>
      <x:c r="J412" s="22"/>
      <x:c r="K412" s="22"/>
      <x:c r="L412" s="22" t="str">
        <x:f>IF(OR(H412="",J412="Состоялась",J412="Отменена"),"",H412-TODAY())</x:f>
      </x:c>
    </x:row>
    <x:row r="413">
      <x:c r="A413" s="22" t="str">
        <x:f>IF(B413="","","CP-"&amp;TEXT(ROW()-2,"0000"))</x:f>
      </x:c>
      <x:c r="B413" s="22"/>
      <x:c r="C413" s="26"/>
      <x:c r="D413" s="22"/>
      <x:c r="E413" s="22"/>
      <x:c r="F413" s="22"/>
      <x:c r="G413" s="22"/>
      <x:c r="H413" s="26"/>
      <x:c r="I413" s="22"/>
      <x:c r="J413" s="22"/>
      <x:c r="K413" s="22"/>
      <x:c r="L413" s="22" t="str">
        <x:f>IF(OR(H413="",J413="Состоялась",J413="Отменена"),"",H413-TODAY())</x:f>
      </x:c>
    </x:row>
    <x:row r="414">
      <x:c r="A414" s="22" t="str">
        <x:f>IF(B414="","","CP-"&amp;TEXT(ROW()-2,"0000"))</x:f>
      </x:c>
      <x:c r="B414" s="22"/>
      <x:c r="C414" s="26"/>
      <x:c r="D414" s="22"/>
      <x:c r="E414" s="22"/>
      <x:c r="F414" s="22"/>
      <x:c r="G414" s="22"/>
      <x:c r="H414" s="26"/>
      <x:c r="I414" s="22"/>
      <x:c r="J414" s="22"/>
      <x:c r="K414" s="22"/>
      <x:c r="L414" s="22" t="str">
        <x:f>IF(OR(H414="",J414="Состоялась",J414="Отменена"),"",H414-TODAY())</x:f>
      </x:c>
    </x:row>
    <x:row r="415">
      <x:c r="A415" s="22" t="str">
        <x:f>IF(B415="","","CP-"&amp;TEXT(ROW()-2,"0000"))</x:f>
      </x:c>
      <x:c r="B415" s="22"/>
      <x:c r="C415" s="26"/>
      <x:c r="D415" s="22"/>
      <x:c r="E415" s="22"/>
      <x:c r="F415" s="22"/>
      <x:c r="G415" s="22"/>
      <x:c r="H415" s="26"/>
      <x:c r="I415" s="22"/>
      <x:c r="J415" s="22"/>
      <x:c r="K415" s="22"/>
      <x:c r="L415" s="22" t="str">
        <x:f>IF(OR(H415="",J415="Состоялась",J415="Отменена"),"",H415-TODAY())</x:f>
      </x:c>
    </x:row>
    <x:row r="416">
      <x:c r="A416" s="22" t="str">
        <x:f>IF(B416="","","CP-"&amp;TEXT(ROW()-2,"0000"))</x:f>
      </x:c>
      <x:c r="B416" s="22"/>
      <x:c r="C416" s="26"/>
      <x:c r="D416" s="22"/>
      <x:c r="E416" s="22"/>
      <x:c r="F416" s="22"/>
      <x:c r="G416" s="22"/>
      <x:c r="H416" s="26"/>
      <x:c r="I416" s="22"/>
      <x:c r="J416" s="22"/>
      <x:c r="K416" s="22"/>
      <x:c r="L416" s="22" t="str">
        <x:f>IF(OR(H416="",J416="Состоялась",J416="Отменена"),"",H416-TODAY())</x:f>
      </x:c>
    </x:row>
    <x:row r="417">
      <x:c r="A417" s="22" t="str">
        <x:f>IF(B417="","","CP-"&amp;TEXT(ROW()-2,"0000"))</x:f>
      </x:c>
      <x:c r="B417" s="22"/>
      <x:c r="C417" s="26"/>
      <x:c r="D417" s="22"/>
      <x:c r="E417" s="22"/>
      <x:c r="F417" s="22"/>
      <x:c r="G417" s="22"/>
      <x:c r="H417" s="26"/>
      <x:c r="I417" s="22"/>
      <x:c r="J417" s="22"/>
      <x:c r="K417" s="22"/>
      <x:c r="L417" s="22" t="str">
        <x:f>IF(OR(H417="",J417="Состоялась",J417="Отменена"),"",H417-TODAY())</x:f>
      </x:c>
    </x:row>
    <x:row r="418">
      <x:c r="A418" s="22" t="str">
        <x:f>IF(B418="","","CP-"&amp;TEXT(ROW()-2,"0000"))</x:f>
      </x:c>
      <x:c r="B418" s="22"/>
      <x:c r="C418" s="26"/>
      <x:c r="D418" s="22"/>
      <x:c r="E418" s="22"/>
      <x:c r="F418" s="22"/>
      <x:c r="G418" s="22"/>
      <x:c r="H418" s="26"/>
      <x:c r="I418" s="22"/>
      <x:c r="J418" s="22"/>
      <x:c r="K418" s="22"/>
      <x:c r="L418" s="22" t="str">
        <x:f>IF(OR(H418="",J418="Состоялась",J418="Отменена"),"",H418-TODAY())</x:f>
      </x:c>
    </x:row>
    <x:row r="419">
      <x:c r="A419" s="22" t="str">
        <x:f>IF(B419="","","CP-"&amp;TEXT(ROW()-2,"0000"))</x:f>
      </x:c>
      <x:c r="B419" s="22"/>
      <x:c r="C419" s="26"/>
      <x:c r="D419" s="22"/>
      <x:c r="E419" s="22"/>
      <x:c r="F419" s="22"/>
      <x:c r="G419" s="22"/>
      <x:c r="H419" s="26"/>
      <x:c r="I419" s="22"/>
      <x:c r="J419" s="22"/>
      <x:c r="K419" s="22"/>
      <x:c r="L419" s="22" t="str">
        <x:f>IF(OR(H419="",J419="Состоялась",J419="Отменена"),"",H419-TODAY())</x:f>
      </x:c>
    </x:row>
    <x:row r="420">
      <x:c r="A420" s="22" t="str">
        <x:f>IF(B420="","","CP-"&amp;TEXT(ROW()-2,"0000"))</x:f>
      </x:c>
      <x:c r="B420" s="22"/>
      <x:c r="C420" s="26"/>
      <x:c r="D420" s="22"/>
      <x:c r="E420" s="22"/>
      <x:c r="F420" s="22"/>
      <x:c r="G420" s="22"/>
      <x:c r="H420" s="26"/>
      <x:c r="I420" s="22"/>
      <x:c r="J420" s="22"/>
      <x:c r="K420" s="22"/>
      <x:c r="L420" s="22" t="str">
        <x:f>IF(OR(H420="",J420="Состоялась",J420="Отменена"),"",H420-TODAY())</x:f>
      </x:c>
    </x:row>
    <x:row r="421">
      <x:c r="A421" s="22" t="str">
        <x:f>IF(B421="","","CP-"&amp;TEXT(ROW()-2,"0000"))</x:f>
      </x:c>
      <x:c r="B421" s="22"/>
      <x:c r="C421" s="26"/>
      <x:c r="D421" s="22"/>
      <x:c r="E421" s="22"/>
      <x:c r="F421" s="22"/>
      <x:c r="G421" s="22"/>
      <x:c r="H421" s="26"/>
      <x:c r="I421" s="22"/>
      <x:c r="J421" s="22"/>
      <x:c r="K421" s="22"/>
      <x:c r="L421" s="22" t="str">
        <x:f>IF(OR(H421="",J421="Состоялась",J421="Отменена"),"",H421-TODAY())</x:f>
      </x:c>
    </x:row>
    <x:row r="422">
      <x:c r="A422" s="22" t="str">
        <x:f>IF(B422="","","CP-"&amp;TEXT(ROW()-2,"0000"))</x:f>
      </x:c>
      <x:c r="B422" s="22"/>
      <x:c r="C422" s="26"/>
      <x:c r="D422" s="22"/>
      <x:c r="E422" s="22"/>
      <x:c r="F422" s="22"/>
      <x:c r="G422" s="22"/>
      <x:c r="H422" s="26"/>
      <x:c r="I422" s="22"/>
      <x:c r="J422" s="22"/>
      <x:c r="K422" s="22"/>
      <x:c r="L422" s="22" t="str">
        <x:f>IF(OR(H422="",J422="Состоялась",J422="Отменена"),"",H422-TODAY())</x:f>
      </x:c>
    </x:row>
    <x:row r="423">
      <x:c r="A423" s="22" t="str">
        <x:f>IF(B423="","","CP-"&amp;TEXT(ROW()-2,"0000"))</x:f>
      </x:c>
      <x:c r="B423" s="22"/>
      <x:c r="C423" s="26"/>
      <x:c r="D423" s="22"/>
      <x:c r="E423" s="22"/>
      <x:c r="F423" s="22"/>
      <x:c r="G423" s="22"/>
      <x:c r="H423" s="26"/>
      <x:c r="I423" s="22"/>
      <x:c r="J423" s="22"/>
      <x:c r="K423" s="22"/>
      <x:c r="L423" s="22" t="str">
        <x:f>IF(OR(H423="",J423="Состоялась",J423="Отменена"),"",H423-TODAY())</x:f>
      </x:c>
    </x:row>
    <x:row r="424">
      <x:c r="A424" s="22" t="str">
        <x:f>IF(B424="","","CP-"&amp;TEXT(ROW()-2,"0000"))</x:f>
      </x:c>
      <x:c r="B424" s="22"/>
      <x:c r="C424" s="26"/>
      <x:c r="D424" s="22"/>
      <x:c r="E424" s="22"/>
      <x:c r="F424" s="22"/>
      <x:c r="G424" s="22"/>
      <x:c r="H424" s="26"/>
      <x:c r="I424" s="22"/>
      <x:c r="J424" s="22"/>
      <x:c r="K424" s="22"/>
      <x:c r="L424" s="22" t="str">
        <x:f>IF(OR(H424="",J424="Состоялась",J424="Отменена"),"",H424-TODAY())</x:f>
      </x:c>
    </x:row>
    <x:row r="425">
      <x:c r="A425" s="22" t="str">
        <x:f>IF(B425="","","CP-"&amp;TEXT(ROW()-2,"0000"))</x:f>
      </x:c>
      <x:c r="B425" s="22"/>
      <x:c r="C425" s="26"/>
      <x:c r="D425" s="22"/>
      <x:c r="E425" s="22"/>
      <x:c r="F425" s="22"/>
      <x:c r="G425" s="22"/>
      <x:c r="H425" s="26"/>
      <x:c r="I425" s="22"/>
      <x:c r="J425" s="22"/>
      <x:c r="K425" s="22"/>
      <x:c r="L425" s="22" t="str">
        <x:f>IF(OR(H425="",J425="Состоялась",J425="Отменена"),"",H425-TODAY())</x:f>
      </x:c>
    </x:row>
    <x:row r="426">
      <x:c r="A426" s="22" t="str">
        <x:f>IF(B426="","","CP-"&amp;TEXT(ROW()-2,"0000"))</x:f>
      </x:c>
      <x:c r="B426" s="22"/>
      <x:c r="C426" s="26"/>
      <x:c r="D426" s="22"/>
      <x:c r="E426" s="22"/>
      <x:c r="F426" s="22"/>
      <x:c r="G426" s="22"/>
      <x:c r="H426" s="26"/>
      <x:c r="I426" s="22"/>
      <x:c r="J426" s="22"/>
      <x:c r="K426" s="22"/>
      <x:c r="L426" s="22" t="str">
        <x:f>IF(OR(H426="",J426="Состоялась",J426="Отменена"),"",H426-TODAY())</x:f>
      </x:c>
    </x:row>
    <x:row r="427">
      <x:c r="A427" s="22" t="str">
        <x:f>IF(B427="","","CP-"&amp;TEXT(ROW()-2,"0000"))</x:f>
      </x:c>
      <x:c r="B427" s="22"/>
      <x:c r="C427" s="26"/>
      <x:c r="D427" s="22"/>
      <x:c r="E427" s="22"/>
      <x:c r="F427" s="22"/>
      <x:c r="G427" s="22"/>
      <x:c r="H427" s="26"/>
      <x:c r="I427" s="22"/>
      <x:c r="J427" s="22"/>
      <x:c r="K427" s="22"/>
      <x:c r="L427" s="22" t="str">
        <x:f>IF(OR(H427="",J427="Состоялась",J427="Отменена"),"",H427-TODAY())</x:f>
      </x:c>
    </x:row>
    <x:row r="428">
      <x:c r="A428" s="22" t="str">
        <x:f>IF(B428="","","CP-"&amp;TEXT(ROW()-2,"0000"))</x:f>
      </x:c>
      <x:c r="B428" s="22"/>
      <x:c r="C428" s="26"/>
      <x:c r="D428" s="22"/>
      <x:c r="E428" s="22"/>
      <x:c r="F428" s="22"/>
      <x:c r="G428" s="22"/>
      <x:c r="H428" s="26"/>
      <x:c r="I428" s="22"/>
      <x:c r="J428" s="22"/>
      <x:c r="K428" s="22"/>
      <x:c r="L428" s="22" t="str">
        <x:f>IF(OR(H428="",J428="Состоялась",J428="Отменена"),"",H428-TODAY())</x:f>
      </x:c>
    </x:row>
    <x:row r="429">
      <x:c r="A429" s="22" t="str">
        <x:f>IF(B429="","","CP-"&amp;TEXT(ROW()-2,"0000"))</x:f>
      </x:c>
      <x:c r="B429" s="22"/>
      <x:c r="C429" s="26"/>
      <x:c r="D429" s="22"/>
      <x:c r="E429" s="22"/>
      <x:c r="F429" s="22"/>
      <x:c r="G429" s="22"/>
      <x:c r="H429" s="26"/>
      <x:c r="I429" s="22"/>
      <x:c r="J429" s="22"/>
      <x:c r="K429" s="22"/>
      <x:c r="L429" s="22" t="str">
        <x:f>IF(OR(H429="",J429="Состоялась",J429="Отменена"),"",H429-TODAY())</x:f>
      </x:c>
    </x:row>
    <x:row r="430">
      <x:c r="A430" s="22" t="str">
        <x:f>IF(B430="","","CP-"&amp;TEXT(ROW()-2,"0000"))</x:f>
      </x:c>
      <x:c r="B430" s="22"/>
      <x:c r="C430" s="26"/>
      <x:c r="D430" s="22"/>
      <x:c r="E430" s="22"/>
      <x:c r="F430" s="22"/>
      <x:c r="G430" s="22"/>
      <x:c r="H430" s="26"/>
      <x:c r="I430" s="22"/>
      <x:c r="J430" s="22"/>
      <x:c r="K430" s="22"/>
      <x:c r="L430" s="22" t="str">
        <x:f>IF(OR(H430="",J430="Состоялась",J430="Отменена"),"",H430-TODAY())</x:f>
      </x:c>
    </x:row>
    <x:row r="431">
      <x:c r="A431" s="22" t="str">
        <x:f>IF(B431="","","CP-"&amp;TEXT(ROW()-2,"0000"))</x:f>
      </x:c>
      <x:c r="B431" s="22"/>
      <x:c r="C431" s="26"/>
      <x:c r="D431" s="22"/>
      <x:c r="E431" s="22"/>
      <x:c r="F431" s="22"/>
      <x:c r="G431" s="22"/>
      <x:c r="H431" s="26"/>
      <x:c r="I431" s="22"/>
      <x:c r="J431" s="22"/>
      <x:c r="K431" s="22"/>
      <x:c r="L431" s="22" t="str">
        <x:f>IF(OR(H431="",J431="Состоялась",J431="Отменена"),"",H431-TODAY())</x:f>
      </x:c>
    </x:row>
    <x:row r="432">
      <x:c r="A432" s="22" t="str">
        <x:f>IF(B432="","","CP-"&amp;TEXT(ROW()-2,"0000"))</x:f>
      </x:c>
      <x:c r="B432" s="22"/>
      <x:c r="C432" s="26"/>
      <x:c r="D432" s="22"/>
      <x:c r="E432" s="22"/>
      <x:c r="F432" s="22"/>
      <x:c r="G432" s="22"/>
      <x:c r="H432" s="26"/>
      <x:c r="I432" s="22"/>
      <x:c r="J432" s="22"/>
      <x:c r="K432" s="22"/>
      <x:c r="L432" s="22" t="str">
        <x:f>IF(OR(H432="",J432="Состоялась",J432="Отменена"),"",H432-TODAY())</x:f>
      </x:c>
    </x:row>
    <x:row r="433">
      <x:c r="A433" s="22" t="str">
        <x:f>IF(B433="","","CP-"&amp;TEXT(ROW()-2,"0000"))</x:f>
      </x:c>
      <x:c r="B433" s="22"/>
      <x:c r="C433" s="26"/>
      <x:c r="D433" s="22"/>
      <x:c r="E433" s="22"/>
      <x:c r="F433" s="22"/>
      <x:c r="G433" s="22"/>
      <x:c r="H433" s="26"/>
      <x:c r="I433" s="22"/>
      <x:c r="J433" s="22"/>
      <x:c r="K433" s="22"/>
      <x:c r="L433" s="22" t="str">
        <x:f>IF(OR(H433="",J433="Состоялась",J433="Отменена"),"",H433-TODAY())</x:f>
      </x:c>
    </x:row>
    <x:row r="434">
      <x:c r="A434" s="22" t="str">
        <x:f>IF(B434="","","CP-"&amp;TEXT(ROW()-2,"0000"))</x:f>
      </x:c>
      <x:c r="B434" s="22"/>
      <x:c r="C434" s="26"/>
      <x:c r="D434" s="22"/>
      <x:c r="E434" s="22"/>
      <x:c r="F434" s="22"/>
      <x:c r="G434" s="22"/>
      <x:c r="H434" s="26"/>
      <x:c r="I434" s="22"/>
      <x:c r="J434" s="22"/>
      <x:c r="K434" s="22"/>
      <x:c r="L434" s="22" t="str">
        <x:f>IF(OR(H434="",J434="Состоялась",J434="Отменена"),"",H434-TODAY())</x:f>
      </x:c>
    </x:row>
    <x:row r="435">
      <x:c r="A435" s="22" t="str">
        <x:f>IF(B435="","","CP-"&amp;TEXT(ROW()-2,"0000"))</x:f>
      </x:c>
      <x:c r="B435" s="22"/>
      <x:c r="C435" s="26"/>
      <x:c r="D435" s="22"/>
      <x:c r="E435" s="22"/>
      <x:c r="F435" s="22"/>
      <x:c r="G435" s="22"/>
      <x:c r="H435" s="26"/>
      <x:c r="I435" s="22"/>
      <x:c r="J435" s="22"/>
      <x:c r="K435" s="22"/>
      <x:c r="L435" s="22" t="str">
        <x:f>IF(OR(H435="",J435="Состоялась",J435="Отменена"),"",H435-TODAY())</x:f>
      </x:c>
    </x:row>
    <x:row r="436">
      <x:c r="A436" s="22" t="str">
        <x:f>IF(B436="","","CP-"&amp;TEXT(ROW()-2,"0000"))</x:f>
      </x:c>
      <x:c r="B436" s="22"/>
      <x:c r="C436" s="26"/>
      <x:c r="D436" s="22"/>
      <x:c r="E436" s="22"/>
      <x:c r="F436" s="22"/>
      <x:c r="G436" s="22"/>
      <x:c r="H436" s="26"/>
      <x:c r="I436" s="22"/>
      <x:c r="J436" s="22"/>
      <x:c r="K436" s="22"/>
      <x:c r="L436" s="22" t="str">
        <x:f>IF(OR(H436="",J436="Состоялась",J436="Отменена"),"",H436-TODAY())</x:f>
      </x:c>
    </x:row>
    <x:row r="437">
      <x:c r="A437" s="22" t="str">
        <x:f>IF(B437="","","CP-"&amp;TEXT(ROW()-2,"0000"))</x:f>
      </x:c>
      <x:c r="B437" s="22"/>
      <x:c r="C437" s="26"/>
      <x:c r="D437" s="22"/>
      <x:c r="E437" s="22"/>
      <x:c r="F437" s="22"/>
      <x:c r="G437" s="22"/>
      <x:c r="H437" s="26"/>
      <x:c r="I437" s="22"/>
      <x:c r="J437" s="22"/>
      <x:c r="K437" s="22"/>
      <x:c r="L437" s="22" t="str">
        <x:f>IF(OR(H437="",J437="Состоялась",J437="Отменена"),"",H437-TODAY())</x:f>
      </x:c>
    </x:row>
    <x:row r="438">
      <x:c r="A438" s="22" t="str">
        <x:f>IF(B438="","","CP-"&amp;TEXT(ROW()-2,"0000"))</x:f>
      </x:c>
      <x:c r="B438" s="22"/>
      <x:c r="C438" s="26"/>
      <x:c r="D438" s="22"/>
      <x:c r="E438" s="22"/>
      <x:c r="F438" s="22"/>
      <x:c r="G438" s="22"/>
      <x:c r="H438" s="26"/>
      <x:c r="I438" s="22"/>
      <x:c r="J438" s="22"/>
      <x:c r="K438" s="22"/>
      <x:c r="L438" s="22" t="str">
        <x:f>IF(OR(H438="",J438="Состоялась",J438="Отменена"),"",H438-TODAY())</x:f>
      </x:c>
    </x:row>
    <x:row r="439">
      <x:c r="A439" s="22" t="str">
        <x:f>IF(B439="","","CP-"&amp;TEXT(ROW()-2,"0000"))</x:f>
      </x:c>
      <x:c r="B439" s="22"/>
      <x:c r="C439" s="26"/>
      <x:c r="D439" s="22"/>
      <x:c r="E439" s="22"/>
      <x:c r="F439" s="22"/>
      <x:c r="G439" s="22"/>
      <x:c r="H439" s="26"/>
      <x:c r="I439" s="22"/>
      <x:c r="J439" s="22"/>
      <x:c r="K439" s="22"/>
      <x:c r="L439" s="22" t="str">
        <x:f>IF(OR(H439="",J439="Состоялась",J439="Отменена"),"",H439-TODAY())</x:f>
      </x:c>
    </x:row>
    <x:row r="440">
      <x:c r="A440" s="22" t="str">
        <x:f>IF(B440="","","CP-"&amp;TEXT(ROW()-2,"0000"))</x:f>
      </x:c>
      <x:c r="B440" s="22"/>
      <x:c r="C440" s="26"/>
      <x:c r="D440" s="22"/>
      <x:c r="E440" s="22"/>
      <x:c r="F440" s="22"/>
      <x:c r="G440" s="22"/>
      <x:c r="H440" s="26"/>
      <x:c r="I440" s="22"/>
      <x:c r="J440" s="22"/>
      <x:c r="K440" s="22"/>
      <x:c r="L440" s="22" t="str">
        <x:f>IF(OR(H440="",J440="Состоялась",J440="Отменена"),"",H440-TODAY())</x:f>
      </x:c>
    </x:row>
    <x:row r="441">
      <x:c r="A441" s="22" t="str">
        <x:f>IF(B441="","","CP-"&amp;TEXT(ROW()-2,"0000"))</x:f>
      </x:c>
      <x:c r="B441" s="22"/>
      <x:c r="C441" s="26"/>
      <x:c r="D441" s="22"/>
      <x:c r="E441" s="22"/>
      <x:c r="F441" s="22"/>
      <x:c r="G441" s="22"/>
      <x:c r="H441" s="26"/>
      <x:c r="I441" s="22"/>
      <x:c r="J441" s="22"/>
      <x:c r="K441" s="22"/>
      <x:c r="L441" s="22" t="str">
        <x:f>IF(OR(H441="",J441="Состоялась",J441="Отменена"),"",H441-TODAY())</x:f>
      </x:c>
    </x:row>
    <x:row r="442">
      <x:c r="A442" s="22" t="str">
        <x:f>IF(B442="","","CP-"&amp;TEXT(ROW()-2,"0000"))</x:f>
      </x:c>
      <x:c r="B442" s="22"/>
      <x:c r="C442" s="26"/>
      <x:c r="D442" s="22"/>
      <x:c r="E442" s="22"/>
      <x:c r="F442" s="22"/>
      <x:c r="G442" s="22"/>
      <x:c r="H442" s="26"/>
      <x:c r="I442" s="22"/>
      <x:c r="J442" s="22"/>
      <x:c r="K442" s="22"/>
      <x:c r="L442" s="22" t="str">
        <x:f>IF(OR(H442="",J442="Состоялась",J442="Отменена"),"",H442-TODAY())</x:f>
      </x:c>
    </x:row>
    <x:row r="443">
      <x:c r="A443" s="22" t="str">
        <x:f>IF(B443="","","CP-"&amp;TEXT(ROW()-2,"0000"))</x:f>
      </x:c>
      <x:c r="B443" s="22"/>
      <x:c r="C443" s="26"/>
      <x:c r="D443" s="22"/>
      <x:c r="E443" s="22"/>
      <x:c r="F443" s="22"/>
      <x:c r="G443" s="22"/>
      <x:c r="H443" s="26"/>
      <x:c r="I443" s="22"/>
      <x:c r="J443" s="22"/>
      <x:c r="K443" s="22"/>
      <x:c r="L443" s="22" t="str">
        <x:f>IF(OR(H443="",J443="Состоялась",J443="Отменена"),"",H443-TODAY())</x:f>
      </x:c>
    </x:row>
    <x:row r="444">
      <x:c r="A444" s="22" t="str">
        <x:f>IF(B444="","","CP-"&amp;TEXT(ROW()-2,"0000"))</x:f>
      </x:c>
      <x:c r="B444" s="22"/>
      <x:c r="C444" s="26"/>
      <x:c r="D444" s="22"/>
      <x:c r="E444" s="22"/>
      <x:c r="F444" s="22"/>
      <x:c r="G444" s="22"/>
      <x:c r="H444" s="26"/>
      <x:c r="I444" s="22"/>
      <x:c r="J444" s="22"/>
      <x:c r="K444" s="22"/>
      <x:c r="L444" s="22" t="str">
        <x:f>IF(OR(H444="",J444="Состоялась",J444="Отменена"),"",H444-TODAY())</x:f>
      </x:c>
    </x:row>
    <x:row r="445">
      <x:c r="A445" s="22" t="str">
        <x:f>IF(B445="","","CP-"&amp;TEXT(ROW()-2,"0000"))</x:f>
      </x:c>
      <x:c r="B445" s="22"/>
      <x:c r="C445" s="26"/>
      <x:c r="D445" s="22"/>
      <x:c r="E445" s="22"/>
      <x:c r="F445" s="22"/>
      <x:c r="G445" s="22"/>
      <x:c r="H445" s="26"/>
      <x:c r="I445" s="22"/>
      <x:c r="J445" s="22"/>
      <x:c r="K445" s="22"/>
      <x:c r="L445" s="22" t="str">
        <x:f>IF(OR(H445="",J445="Состоялась",J445="Отменена"),"",H445-TODAY())</x:f>
      </x:c>
    </x:row>
    <x:row r="446">
      <x:c r="A446" s="22" t="str">
        <x:f>IF(B446="","","CP-"&amp;TEXT(ROW()-2,"0000"))</x:f>
      </x:c>
      <x:c r="B446" s="22"/>
      <x:c r="C446" s="26"/>
      <x:c r="D446" s="22"/>
      <x:c r="E446" s="22"/>
      <x:c r="F446" s="22"/>
      <x:c r="G446" s="22"/>
      <x:c r="H446" s="26"/>
      <x:c r="I446" s="22"/>
      <x:c r="J446" s="22"/>
      <x:c r="K446" s="22"/>
      <x:c r="L446" s="22" t="str">
        <x:f>IF(OR(H446="",J446="Состоялась",J446="Отменена"),"",H446-TODAY())</x:f>
      </x:c>
    </x:row>
    <x:row r="447">
      <x:c r="A447" s="22" t="str">
        <x:f>IF(B447="","","CP-"&amp;TEXT(ROW()-2,"0000"))</x:f>
      </x:c>
      <x:c r="B447" s="22"/>
      <x:c r="C447" s="26"/>
      <x:c r="D447" s="22"/>
      <x:c r="E447" s="22"/>
      <x:c r="F447" s="22"/>
      <x:c r="G447" s="22"/>
      <x:c r="H447" s="26"/>
      <x:c r="I447" s="22"/>
      <x:c r="J447" s="22"/>
      <x:c r="K447" s="22"/>
      <x:c r="L447" s="22" t="str">
        <x:f>IF(OR(H447="",J447="Состоялась",J447="Отменена"),"",H447-TODAY())</x:f>
      </x:c>
    </x:row>
    <x:row r="448">
      <x:c r="A448" s="22" t="str">
        <x:f>IF(B448="","","CP-"&amp;TEXT(ROW()-2,"0000"))</x:f>
      </x:c>
      <x:c r="B448" s="22"/>
      <x:c r="C448" s="26"/>
      <x:c r="D448" s="22"/>
      <x:c r="E448" s="22"/>
      <x:c r="F448" s="22"/>
      <x:c r="G448" s="22"/>
      <x:c r="H448" s="26"/>
      <x:c r="I448" s="22"/>
      <x:c r="J448" s="22"/>
      <x:c r="K448" s="22"/>
      <x:c r="L448" s="22" t="str">
        <x:f>IF(OR(H448="",J448="Состоялась",J448="Отменена"),"",H448-TODAY())</x:f>
      </x:c>
    </x:row>
    <x:row r="449">
      <x:c r="A449" s="22" t="str">
        <x:f>IF(B449="","","CP-"&amp;TEXT(ROW()-2,"0000"))</x:f>
      </x:c>
      <x:c r="B449" s="22"/>
      <x:c r="C449" s="26"/>
      <x:c r="D449" s="22"/>
      <x:c r="E449" s="22"/>
      <x:c r="F449" s="22"/>
      <x:c r="G449" s="22"/>
      <x:c r="H449" s="26"/>
      <x:c r="I449" s="22"/>
      <x:c r="J449" s="22"/>
      <x:c r="K449" s="22"/>
      <x:c r="L449" s="22" t="str">
        <x:f>IF(OR(H449="",J449="Состоялась",J449="Отменена"),"",H449-TODAY())</x:f>
      </x:c>
    </x:row>
    <x:row r="450">
      <x:c r="A450" s="22" t="str">
        <x:f>IF(B450="","","CP-"&amp;TEXT(ROW()-2,"0000"))</x:f>
      </x:c>
      <x:c r="B450" s="22"/>
      <x:c r="C450" s="26"/>
      <x:c r="D450" s="22"/>
      <x:c r="E450" s="22"/>
      <x:c r="F450" s="22"/>
      <x:c r="G450" s="22"/>
      <x:c r="H450" s="26"/>
      <x:c r="I450" s="22"/>
      <x:c r="J450" s="22"/>
      <x:c r="K450" s="22"/>
      <x:c r="L450" s="22" t="str">
        <x:f>IF(OR(H450="",J450="Состоялась",J450="Отменена"),"",H450-TODAY())</x:f>
      </x:c>
    </x:row>
    <x:row r="451">
      <x:c r="A451" s="22" t="str">
        <x:f>IF(B451="","","CP-"&amp;TEXT(ROW()-2,"0000"))</x:f>
      </x:c>
      <x:c r="B451" s="22"/>
      <x:c r="C451" s="26"/>
      <x:c r="D451" s="22"/>
      <x:c r="E451" s="22"/>
      <x:c r="F451" s="22"/>
      <x:c r="G451" s="22"/>
      <x:c r="H451" s="26"/>
      <x:c r="I451" s="22"/>
      <x:c r="J451" s="22"/>
      <x:c r="K451" s="22"/>
      <x:c r="L451" s="22" t="str">
        <x:f>IF(OR(H451="",J451="Состоялась",J451="Отменена"),"",H451-TODAY())</x:f>
      </x:c>
    </x:row>
    <x:row r="452">
      <x:c r="A452" s="22" t="str">
        <x:f>IF(B452="","","CP-"&amp;TEXT(ROW()-2,"0000"))</x:f>
      </x:c>
      <x:c r="B452" s="22"/>
      <x:c r="C452" s="26"/>
      <x:c r="D452" s="22"/>
      <x:c r="E452" s="22"/>
      <x:c r="F452" s="22"/>
      <x:c r="G452" s="22"/>
      <x:c r="H452" s="26"/>
      <x:c r="I452" s="22"/>
      <x:c r="J452" s="22"/>
      <x:c r="K452" s="22"/>
      <x:c r="L452" s="22" t="str">
        <x:f>IF(OR(H452="",J452="Состоялась",J452="Отменена"),"",H452-TODAY())</x:f>
      </x:c>
    </x:row>
    <x:row r="453">
      <x:c r="A453" s="22" t="str">
        <x:f>IF(B453="","","CP-"&amp;TEXT(ROW()-2,"0000"))</x:f>
      </x:c>
      <x:c r="B453" s="22"/>
      <x:c r="C453" s="26"/>
      <x:c r="D453" s="22"/>
      <x:c r="E453" s="22"/>
      <x:c r="F453" s="22"/>
      <x:c r="G453" s="22"/>
      <x:c r="H453" s="26"/>
      <x:c r="I453" s="22"/>
      <x:c r="J453" s="22"/>
      <x:c r="K453" s="22"/>
      <x:c r="L453" s="22" t="str">
        <x:f>IF(OR(H453="",J453="Состоялась",J453="Отменена"),"",H453-TODAY())</x:f>
      </x:c>
    </x:row>
    <x:row r="454">
      <x:c r="A454" s="22" t="str">
        <x:f>IF(B454="","","CP-"&amp;TEXT(ROW()-2,"0000"))</x:f>
      </x:c>
      <x:c r="B454" s="22"/>
      <x:c r="C454" s="26"/>
      <x:c r="D454" s="22"/>
      <x:c r="E454" s="22"/>
      <x:c r="F454" s="22"/>
      <x:c r="G454" s="22"/>
      <x:c r="H454" s="26"/>
      <x:c r="I454" s="22"/>
      <x:c r="J454" s="22"/>
      <x:c r="K454" s="22"/>
      <x:c r="L454" s="22" t="str">
        <x:f>IF(OR(H454="",J454="Состоялась",J454="Отменена"),"",H454-TODAY())</x:f>
      </x:c>
    </x:row>
    <x:row r="455">
      <x:c r="A455" s="22" t="str">
        <x:f>IF(B455="","","CP-"&amp;TEXT(ROW()-2,"0000"))</x:f>
      </x:c>
      <x:c r="B455" s="22"/>
      <x:c r="C455" s="26"/>
      <x:c r="D455" s="22"/>
      <x:c r="E455" s="22"/>
      <x:c r="F455" s="22"/>
      <x:c r="G455" s="22"/>
      <x:c r="H455" s="26"/>
      <x:c r="I455" s="22"/>
      <x:c r="J455" s="22"/>
      <x:c r="K455" s="22"/>
      <x:c r="L455" s="22" t="str">
        <x:f>IF(OR(H455="",J455="Состоялась",J455="Отменена"),"",H455-TODAY())</x:f>
      </x:c>
    </x:row>
    <x:row r="456">
      <x:c r="A456" s="22" t="str">
        <x:f>IF(B456="","","CP-"&amp;TEXT(ROW()-2,"0000"))</x:f>
      </x:c>
      <x:c r="B456" s="22"/>
      <x:c r="C456" s="26"/>
      <x:c r="D456" s="22"/>
      <x:c r="E456" s="22"/>
      <x:c r="F456" s="22"/>
      <x:c r="G456" s="22"/>
      <x:c r="H456" s="26"/>
      <x:c r="I456" s="22"/>
      <x:c r="J456" s="22"/>
      <x:c r="K456" s="22"/>
      <x:c r="L456" s="22" t="str">
        <x:f>IF(OR(H456="",J456="Состоялась",J456="Отменена"),"",H456-TODAY())</x:f>
      </x:c>
    </x:row>
    <x:row r="457">
      <x:c r="A457" s="22" t="str">
        <x:f>IF(B457="","","CP-"&amp;TEXT(ROW()-2,"0000"))</x:f>
      </x:c>
      <x:c r="B457" s="22"/>
      <x:c r="C457" s="26"/>
      <x:c r="D457" s="22"/>
      <x:c r="E457" s="22"/>
      <x:c r="F457" s="22"/>
      <x:c r="G457" s="22"/>
      <x:c r="H457" s="26"/>
      <x:c r="I457" s="22"/>
      <x:c r="J457" s="22"/>
      <x:c r="K457" s="22"/>
      <x:c r="L457" s="22" t="str">
        <x:f>IF(OR(H457="",J457="Состоялась",J457="Отменена"),"",H457-TODAY())</x:f>
      </x:c>
    </x:row>
    <x:row r="458">
      <x:c r="A458" s="22" t="str">
        <x:f>IF(B458="","","CP-"&amp;TEXT(ROW()-2,"0000"))</x:f>
      </x:c>
      <x:c r="B458" s="22"/>
      <x:c r="C458" s="26"/>
      <x:c r="D458" s="22"/>
      <x:c r="E458" s="22"/>
      <x:c r="F458" s="22"/>
      <x:c r="G458" s="22"/>
      <x:c r="H458" s="26"/>
      <x:c r="I458" s="22"/>
      <x:c r="J458" s="22"/>
      <x:c r="K458" s="22"/>
      <x:c r="L458" s="22" t="str">
        <x:f>IF(OR(H458="",J458="Состоялась",J458="Отменена"),"",H458-TODAY())</x:f>
      </x:c>
    </x:row>
    <x:row r="459">
      <x:c r="A459" s="22" t="str">
        <x:f>IF(B459="","","CP-"&amp;TEXT(ROW()-2,"0000"))</x:f>
      </x:c>
      <x:c r="B459" s="22"/>
      <x:c r="C459" s="26"/>
      <x:c r="D459" s="22"/>
      <x:c r="E459" s="22"/>
      <x:c r="F459" s="22"/>
      <x:c r="G459" s="22"/>
      <x:c r="H459" s="26"/>
      <x:c r="I459" s="22"/>
      <x:c r="J459" s="22"/>
      <x:c r="K459" s="22"/>
      <x:c r="L459" s="22" t="str">
        <x:f>IF(OR(H459="",J459="Состоялась",J459="Отменена"),"",H459-TODAY())</x:f>
      </x:c>
    </x:row>
    <x:row r="460">
      <x:c r="A460" s="22" t="str">
        <x:f>IF(B460="","","CP-"&amp;TEXT(ROW()-2,"0000"))</x:f>
      </x:c>
      <x:c r="B460" s="22"/>
      <x:c r="C460" s="26"/>
      <x:c r="D460" s="22"/>
      <x:c r="E460" s="22"/>
      <x:c r="F460" s="22"/>
      <x:c r="G460" s="22"/>
      <x:c r="H460" s="26"/>
      <x:c r="I460" s="22"/>
      <x:c r="J460" s="22"/>
      <x:c r="K460" s="22"/>
      <x:c r="L460" s="22" t="str">
        <x:f>IF(OR(H460="",J460="Состоялась",J460="Отменена"),"",H460-TODAY())</x:f>
      </x:c>
    </x:row>
    <x:row r="461">
      <x:c r="A461" s="22" t="str">
        <x:f>IF(B461="","","CP-"&amp;TEXT(ROW()-2,"0000"))</x:f>
      </x:c>
      <x:c r="B461" s="22"/>
      <x:c r="C461" s="26"/>
      <x:c r="D461" s="22"/>
      <x:c r="E461" s="22"/>
      <x:c r="F461" s="22"/>
      <x:c r="G461" s="22"/>
      <x:c r="H461" s="26"/>
      <x:c r="I461" s="22"/>
      <x:c r="J461" s="22"/>
      <x:c r="K461" s="22"/>
      <x:c r="L461" s="22" t="str">
        <x:f>IF(OR(H461="",J461="Состоялась",J461="Отменена"),"",H461-TODAY())</x:f>
      </x:c>
    </x:row>
    <x:row r="462">
      <x:c r="A462" s="22" t="str">
        <x:f>IF(B462="","","CP-"&amp;TEXT(ROW()-2,"0000"))</x:f>
      </x:c>
      <x:c r="B462" s="22"/>
      <x:c r="C462" s="26"/>
      <x:c r="D462" s="22"/>
      <x:c r="E462" s="22"/>
      <x:c r="F462" s="22"/>
      <x:c r="G462" s="22"/>
      <x:c r="H462" s="26"/>
      <x:c r="I462" s="22"/>
      <x:c r="J462" s="22"/>
      <x:c r="K462" s="22"/>
      <x:c r="L462" s="22" t="str">
        <x:f>IF(OR(H462="",J462="Состоялась",J462="Отменена"),"",H462-TODAY())</x:f>
      </x:c>
    </x:row>
    <x:row r="463">
      <x:c r="A463" s="22" t="str">
        <x:f>IF(B463="","","CP-"&amp;TEXT(ROW()-2,"0000"))</x:f>
      </x:c>
      <x:c r="B463" s="22"/>
      <x:c r="C463" s="26"/>
      <x:c r="D463" s="22"/>
      <x:c r="E463" s="22"/>
      <x:c r="F463" s="22"/>
      <x:c r="G463" s="22"/>
      <x:c r="H463" s="26"/>
      <x:c r="I463" s="22"/>
      <x:c r="J463" s="22"/>
      <x:c r="K463" s="22"/>
      <x:c r="L463" s="22" t="str">
        <x:f>IF(OR(H463="",J463="Состоялась",J463="Отменена"),"",H463-TODAY())</x:f>
      </x:c>
    </x:row>
    <x:row r="464">
      <x:c r="A464" s="22" t="str">
        <x:f>IF(B464="","","CP-"&amp;TEXT(ROW()-2,"0000"))</x:f>
      </x:c>
      <x:c r="B464" s="22"/>
      <x:c r="C464" s="26"/>
      <x:c r="D464" s="22"/>
      <x:c r="E464" s="22"/>
      <x:c r="F464" s="22"/>
      <x:c r="G464" s="22"/>
      <x:c r="H464" s="26"/>
      <x:c r="I464" s="22"/>
      <x:c r="J464" s="22"/>
      <x:c r="K464" s="22"/>
      <x:c r="L464" s="22" t="str">
        <x:f>IF(OR(H464="",J464="Состоялась",J464="Отменена"),"",H464-TODAY())</x:f>
      </x:c>
    </x:row>
    <x:row r="465">
      <x:c r="A465" s="22" t="str">
        <x:f>IF(B465="","","CP-"&amp;TEXT(ROW()-2,"0000"))</x:f>
      </x:c>
      <x:c r="B465" s="22"/>
      <x:c r="C465" s="26"/>
      <x:c r="D465" s="22"/>
      <x:c r="E465" s="22"/>
      <x:c r="F465" s="22"/>
      <x:c r="G465" s="22"/>
      <x:c r="H465" s="26"/>
      <x:c r="I465" s="22"/>
      <x:c r="J465" s="22"/>
      <x:c r="K465" s="22"/>
      <x:c r="L465" s="22" t="str">
        <x:f>IF(OR(H465="",J465="Состоялась",J465="Отменена"),"",H465-TODAY())</x:f>
      </x:c>
    </x:row>
    <x:row r="466">
      <x:c r="A466" s="22" t="str">
        <x:f>IF(B466="","","CP-"&amp;TEXT(ROW()-2,"0000"))</x:f>
      </x:c>
      <x:c r="B466" s="22"/>
      <x:c r="C466" s="26"/>
      <x:c r="D466" s="22"/>
      <x:c r="E466" s="22"/>
      <x:c r="F466" s="22"/>
      <x:c r="G466" s="22"/>
      <x:c r="H466" s="26"/>
      <x:c r="I466" s="22"/>
      <x:c r="J466" s="22"/>
      <x:c r="K466" s="22"/>
      <x:c r="L466" s="22" t="str">
        <x:f>IF(OR(H466="",J466="Состоялась",J466="Отменена"),"",H466-TODAY())</x:f>
      </x:c>
    </x:row>
    <x:row r="467">
      <x:c r="A467" s="22" t="str">
        <x:f>IF(B467="","","CP-"&amp;TEXT(ROW()-2,"0000"))</x:f>
      </x:c>
      <x:c r="B467" s="22"/>
      <x:c r="C467" s="26"/>
      <x:c r="D467" s="22"/>
      <x:c r="E467" s="22"/>
      <x:c r="F467" s="22"/>
      <x:c r="G467" s="22"/>
      <x:c r="H467" s="26"/>
      <x:c r="I467" s="22"/>
      <x:c r="J467" s="22"/>
      <x:c r="K467" s="22"/>
      <x:c r="L467" s="22" t="str">
        <x:f>IF(OR(H467="",J467="Состоялась",J467="Отменена"),"",H467-TODAY())</x:f>
      </x:c>
    </x:row>
    <x:row r="468">
      <x:c r="A468" s="22" t="str">
        <x:f>IF(B468="","","CP-"&amp;TEXT(ROW()-2,"0000"))</x:f>
      </x:c>
      <x:c r="B468" s="22"/>
      <x:c r="C468" s="26"/>
      <x:c r="D468" s="22"/>
      <x:c r="E468" s="22"/>
      <x:c r="F468" s="22"/>
      <x:c r="G468" s="22"/>
      <x:c r="H468" s="26"/>
      <x:c r="I468" s="22"/>
      <x:c r="J468" s="22"/>
      <x:c r="K468" s="22"/>
      <x:c r="L468" s="22" t="str">
        <x:f>IF(OR(H468="",J468="Состоялась",J468="Отменена"),"",H468-TODAY())</x:f>
      </x:c>
    </x:row>
    <x:row r="469">
      <x:c r="A469" s="22" t="str">
        <x:f>IF(B469="","","CP-"&amp;TEXT(ROW()-2,"0000"))</x:f>
      </x:c>
      <x:c r="B469" s="22"/>
      <x:c r="C469" s="26"/>
      <x:c r="D469" s="22"/>
      <x:c r="E469" s="22"/>
      <x:c r="F469" s="22"/>
      <x:c r="G469" s="22"/>
      <x:c r="H469" s="26"/>
      <x:c r="I469" s="22"/>
      <x:c r="J469" s="22"/>
      <x:c r="K469" s="22"/>
      <x:c r="L469" s="22" t="str">
        <x:f>IF(OR(H469="",J469="Состоялась",J469="Отменена"),"",H469-TODAY())</x:f>
      </x:c>
    </x:row>
    <x:row r="470">
      <x:c r="A470" s="22" t="str">
        <x:f>IF(B470="","","CP-"&amp;TEXT(ROW()-2,"0000"))</x:f>
      </x:c>
      <x:c r="B470" s="22"/>
      <x:c r="C470" s="26"/>
      <x:c r="D470" s="22"/>
      <x:c r="E470" s="22"/>
      <x:c r="F470" s="22"/>
      <x:c r="G470" s="22"/>
      <x:c r="H470" s="26"/>
      <x:c r="I470" s="22"/>
      <x:c r="J470" s="22"/>
      <x:c r="K470" s="22"/>
      <x:c r="L470" s="22" t="str">
        <x:f>IF(OR(H470="",J470="Состоялась",J470="Отменена"),"",H470-TODAY())</x:f>
      </x:c>
    </x:row>
    <x:row r="471">
      <x:c r="A471" s="22" t="str">
        <x:f>IF(B471="","","CP-"&amp;TEXT(ROW()-2,"0000"))</x:f>
      </x:c>
      <x:c r="B471" s="22"/>
      <x:c r="C471" s="26"/>
      <x:c r="D471" s="22"/>
      <x:c r="E471" s="22"/>
      <x:c r="F471" s="22"/>
      <x:c r="G471" s="22"/>
      <x:c r="H471" s="26"/>
      <x:c r="I471" s="22"/>
      <x:c r="J471" s="22"/>
      <x:c r="K471" s="22"/>
      <x:c r="L471" s="22" t="str">
        <x:f>IF(OR(H471="",J471="Состоялась",J471="Отменена"),"",H471-TODAY())</x:f>
      </x:c>
    </x:row>
    <x:row r="472">
      <x:c r="A472" s="22" t="str">
        <x:f>IF(B472="","","CP-"&amp;TEXT(ROW()-2,"0000"))</x:f>
      </x:c>
      <x:c r="B472" s="22"/>
      <x:c r="C472" s="26"/>
      <x:c r="D472" s="22"/>
      <x:c r="E472" s="22"/>
      <x:c r="F472" s="22"/>
      <x:c r="G472" s="22"/>
      <x:c r="H472" s="26"/>
      <x:c r="I472" s="22"/>
      <x:c r="J472" s="22"/>
      <x:c r="K472" s="22"/>
      <x:c r="L472" s="22" t="str">
        <x:f>IF(OR(H472="",J472="Состоялась",J472="Отменена"),"",H472-TODAY())</x:f>
      </x:c>
    </x:row>
    <x:row r="473">
      <x:c r="A473" s="22" t="str">
        <x:f>IF(B473="","","CP-"&amp;TEXT(ROW()-2,"0000"))</x:f>
      </x:c>
      <x:c r="B473" s="22"/>
      <x:c r="C473" s="26"/>
      <x:c r="D473" s="22"/>
      <x:c r="E473" s="22"/>
      <x:c r="F473" s="22"/>
      <x:c r="G473" s="22"/>
      <x:c r="H473" s="26"/>
      <x:c r="I473" s="22"/>
      <x:c r="J473" s="22"/>
      <x:c r="K473" s="22"/>
      <x:c r="L473" s="22" t="str">
        <x:f>IF(OR(H473="",J473="Состоялась",J473="Отменена"),"",H473-TODAY())</x:f>
      </x:c>
    </x:row>
    <x:row r="474">
      <x:c r="A474" s="22" t="str">
        <x:f>IF(B474="","","CP-"&amp;TEXT(ROW()-2,"0000"))</x:f>
      </x:c>
      <x:c r="B474" s="22"/>
      <x:c r="C474" s="26"/>
      <x:c r="D474" s="22"/>
      <x:c r="E474" s="22"/>
      <x:c r="F474" s="22"/>
      <x:c r="G474" s="22"/>
      <x:c r="H474" s="26"/>
      <x:c r="I474" s="22"/>
      <x:c r="J474" s="22"/>
      <x:c r="K474" s="22"/>
      <x:c r="L474" s="22" t="str">
        <x:f>IF(OR(H474="",J474="Состоялась",J474="Отменена"),"",H474-TODAY())</x:f>
      </x:c>
    </x:row>
    <x:row r="475">
      <x:c r="A475" s="22" t="str">
        <x:f>IF(B475="","","CP-"&amp;TEXT(ROW()-2,"0000"))</x:f>
      </x:c>
      <x:c r="B475" s="22"/>
      <x:c r="C475" s="26"/>
      <x:c r="D475" s="22"/>
      <x:c r="E475" s="22"/>
      <x:c r="F475" s="22"/>
      <x:c r="G475" s="22"/>
      <x:c r="H475" s="26"/>
      <x:c r="I475" s="22"/>
      <x:c r="J475" s="22"/>
      <x:c r="K475" s="22"/>
      <x:c r="L475" s="22" t="str">
        <x:f>IF(OR(H475="",J475="Состоялась",J475="Отменена"),"",H475-TODAY())</x:f>
      </x:c>
    </x:row>
    <x:row r="476">
      <x:c r="A476" s="22" t="str">
        <x:f>IF(B476="","","CP-"&amp;TEXT(ROW()-2,"0000"))</x:f>
      </x:c>
      <x:c r="B476" s="22"/>
      <x:c r="C476" s="26"/>
      <x:c r="D476" s="22"/>
      <x:c r="E476" s="22"/>
      <x:c r="F476" s="22"/>
      <x:c r="G476" s="22"/>
      <x:c r="H476" s="26"/>
      <x:c r="I476" s="22"/>
      <x:c r="J476" s="22"/>
      <x:c r="K476" s="22"/>
      <x:c r="L476" s="22" t="str">
        <x:f>IF(OR(H476="",J476="Состоялась",J476="Отменена"),"",H476-TODAY())</x:f>
      </x:c>
    </x:row>
    <x:row r="477">
      <x:c r="A477" s="22" t="str">
        <x:f>IF(B477="","","CP-"&amp;TEXT(ROW()-2,"0000"))</x:f>
      </x:c>
      <x:c r="B477" s="22"/>
      <x:c r="C477" s="26"/>
      <x:c r="D477" s="22"/>
      <x:c r="E477" s="22"/>
      <x:c r="F477" s="22"/>
      <x:c r="G477" s="22"/>
      <x:c r="H477" s="26"/>
      <x:c r="I477" s="22"/>
      <x:c r="J477" s="22"/>
      <x:c r="K477" s="22"/>
      <x:c r="L477" s="22" t="str">
        <x:f>IF(OR(H477="",J477="Состоялась",J477="Отменена"),"",H477-TODAY())</x:f>
      </x:c>
    </x:row>
    <x:row r="478">
      <x:c r="A478" s="22" t="str">
        <x:f>IF(B478="","","CP-"&amp;TEXT(ROW()-2,"0000"))</x:f>
      </x:c>
      <x:c r="B478" s="22"/>
      <x:c r="C478" s="26"/>
      <x:c r="D478" s="22"/>
      <x:c r="E478" s="22"/>
      <x:c r="F478" s="22"/>
      <x:c r="G478" s="22"/>
      <x:c r="H478" s="26"/>
      <x:c r="I478" s="22"/>
      <x:c r="J478" s="22"/>
      <x:c r="K478" s="22"/>
      <x:c r="L478" s="22" t="str">
        <x:f>IF(OR(H478="",J478="Состоялась",J478="Отменена"),"",H478-TODAY())</x:f>
      </x:c>
    </x:row>
    <x:row r="479">
      <x:c r="A479" s="22" t="str">
        <x:f>IF(B479="","","CP-"&amp;TEXT(ROW()-2,"0000"))</x:f>
      </x:c>
      <x:c r="B479" s="22"/>
      <x:c r="C479" s="26"/>
      <x:c r="D479" s="22"/>
      <x:c r="E479" s="22"/>
      <x:c r="F479" s="22"/>
      <x:c r="G479" s="22"/>
      <x:c r="H479" s="26"/>
      <x:c r="I479" s="22"/>
      <x:c r="J479" s="22"/>
      <x:c r="K479" s="22"/>
      <x:c r="L479" s="22" t="str">
        <x:f>IF(OR(H479="",J479="Состоялась",J479="Отменена"),"",H479-TODAY())</x:f>
      </x:c>
    </x:row>
    <x:row r="480">
      <x:c r="A480" s="22" t="str">
        <x:f>IF(B480="","","CP-"&amp;TEXT(ROW()-2,"0000"))</x:f>
      </x:c>
      <x:c r="B480" s="22"/>
      <x:c r="C480" s="26"/>
      <x:c r="D480" s="22"/>
      <x:c r="E480" s="22"/>
      <x:c r="F480" s="22"/>
      <x:c r="G480" s="22"/>
      <x:c r="H480" s="26"/>
      <x:c r="I480" s="22"/>
      <x:c r="J480" s="22"/>
      <x:c r="K480" s="22"/>
      <x:c r="L480" s="22" t="str">
        <x:f>IF(OR(H480="",J480="Состоялась",J480="Отменена"),"",H480-TODAY())</x:f>
      </x:c>
    </x:row>
    <x:row r="481">
      <x:c r="A481" s="22" t="str">
        <x:f>IF(B481="","","CP-"&amp;TEXT(ROW()-2,"0000"))</x:f>
      </x:c>
      <x:c r="B481" s="22"/>
      <x:c r="C481" s="26"/>
      <x:c r="D481" s="22"/>
      <x:c r="E481" s="22"/>
      <x:c r="F481" s="22"/>
      <x:c r="G481" s="22"/>
      <x:c r="H481" s="26"/>
      <x:c r="I481" s="22"/>
      <x:c r="J481" s="22"/>
      <x:c r="K481" s="22"/>
      <x:c r="L481" s="22" t="str">
        <x:f>IF(OR(H481="",J481="Состоялась",J481="Отменена"),"",H481-TODAY())</x:f>
      </x:c>
    </x:row>
    <x:row r="482">
      <x:c r="A482" s="22" t="str">
        <x:f>IF(B482="","","CP-"&amp;TEXT(ROW()-2,"0000"))</x:f>
      </x:c>
      <x:c r="B482" s="22"/>
      <x:c r="C482" s="26"/>
      <x:c r="D482" s="22"/>
      <x:c r="E482" s="22"/>
      <x:c r="F482" s="22"/>
      <x:c r="G482" s="22"/>
      <x:c r="H482" s="26"/>
      <x:c r="I482" s="22"/>
      <x:c r="J482" s="22"/>
      <x:c r="K482" s="22"/>
      <x:c r="L482" s="22" t="str">
        <x:f>IF(OR(H482="",J482="Состоялась",J482="Отменена"),"",H482-TODAY())</x:f>
      </x:c>
    </x:row>
    <x:row r="483">
      <x:c r="A483" s="22" t="str">
        <x:f>IF(B483="","","CP-"&amp;TEXT(ROW()-2,"0000"))</x:f>
      </x:c>
      <x:c r="B483" s="22"/>
      <x:c r="C483" s="26"/>
      <x:c r="D483" s="22"/>
      <x:c r="E483" s="22"/>
      <x:c r="F483" s="22"/>
      <x:c r="G483" s="22"/>
      <x:c r="H483" s="26"/>
      <x:c r="I483" s="22"/>
      <x:c r="J483" s="22"/>
      <x:c r="K483" s="22"/>
      <x:c r="L483" s="22" t="str">
        <x:f>IF(OR(H483="",J483="Состоялась",J483="Отменена"),"",H483-TODAY())</x:f>
      </x:c>
    </x:row>
    <x:row r="484">
      <x:c r="A484" s="22" t="str">
        <x:f>IF(B484="","","CP-"&amp;TEXT(ROW()-2,"0000"))</x:f>
      </x:c>
      <x:c r="B484" s="22"/>
      <x:c r="C484" s="26"/>
      <x:c r="D484" s="22"/>
      <x:c r="E484" s="22"/>
      <x:c r="F484" s="22"/>
      <x:c r="G484" s="22"/>
      <x:c r="H484" s="26"/>
      <x:c r="I484" s="22"/>
      <x:c r="J484" s="22"/>
      <x:c r="K484" s="22"/>
      <x:c r="L484" s="22" t="str">
        <x:f>IF(OR(H484="",J484="Состоялась",J484="Отменена"),"",H484-TODAY())</x:f>
      </x:c>
    </x:row>
    <x:row r="485">
      <x:c r="A485" s="22" t="str">
        <x:f>IF(B485="","","CP-"&amp;TEXT(ROW()-2,"0000"))</x:f>
      </x:c>
      <x:c r="B485" s="22"/>
      <x:c r="C485" s="26"/>
      <x:c r="D485" s="22"/>
      <x:c r="E485" s="22"/>
      <x:c r="F485" s="22"/>
      <x:c r="G485" s="22"/>
      <x:c r="H485" s="26"/>
      <x:c r="I485" s="22"/>
      <x:c r="J485" s="22"/>
      <x:c r="K485" s="22"/>
      <x:c r="L485" s="22" t="str">
        <x:f>IF(OR(H485="",J485="Состоялась",J485="Отменена"),"",H485-TODAY())</x:f>
      </x:c>
    </x:row>
    <x:row r="486">
      <x:c r="A486" s="22" t="str">
        <x:f>IF(B486="","","CP-"&amp;TEXT(ROW()-2,"0000"))</x:f>
      </x:c>
      <x:c r="B486" s="22"/>
      <x:c r="C486" s="26"/>
      <x:c r="D486" s="22"/>
      <x:c r="E486" s="22"/>
      <x:c r="F486" s="22"/>
      <x:c r="G486" s="22"/>
      <x:c r="H486" s="26"/>
      <x:c r="I486" s="22"/>
      <x:c r="J486" s="22"/>
      <x:c r="K486" s="22"/>
      <x:c r="L486" s="22" t="str">
        <x:f>IF(OR(H486="",J486="Состоялась",J486="Отменена"),"",H486-TODAY())</x:f>
      </x:c>
    </x:row>
    <x:row r="487">
      <x:c r="A487" s="22" t="str">
        <x:f>IF(B487="","","CP-"&amp;TEXT(ROW()-2,"0000"))</x:f>
      </x:c>
      <x:c r="B487" s="22"/>
      <x:c r="C487" s="26"/>
      <x:c r="D487" s="22"/>
      <x:c r="E487" s="22"/>
      <x:c r="F487" s="22"/>
      <x:c r="G487" s="22"/>
      <x:c r="H487" s="26"/>
      <x:c r="I487" s="22"/>
      <x:c r="J487" s="22"/>
      <x:c r="K487" s="22"/>
      <x:c r="L487" s="22" t="str">
        <x:f>IF(OR(H487="",J487="Состоялась",J487="Отменена"),"",H487-TODAY())</x:f>
      </x:c>
    </x:row>
    <x:row r="488">
      <x:c r="A488" s="22" t="str">
        <x:f>IF(B488="","","CP-"&amp;TEXT(ROW()-2,"0000"))</x:f>
      </x:c>
      <x:c r="B488" s="22"/>
      <x:c r="C488" s="26"/>
      <x:c r="D488" s="22"/>
      <x:c r="E488" s="22"/>
      <x:c r="F488" s="22"/>
      <x:c r="G488" s="22"/>
      <x:c r="H488" s="26"/>
      <x:c r="I488" s="22"/>
      <x:c r="J488" s="22"/>
      <x:c r="K488" s="22"/>
      <x:c r="L488" s="22" t="str">
        <x:f>IF(OR(H488="",J488="Состоялась",J488="Отменена"),"",H488-TODAY())</x:f>
      </x:c>
    </x:row>
    <x:row r="489">
      <x:c r="A489" s="22" t="str">
        <x:f>IF(B489="","","CP-"&amp;TEXT(ROW()-2,"0000"))</x:f>
      </x:c>
      <x:c r="B489" s="22"/>
      <x:c r="C489" s="26"/>
      <x:c r="D489" s="22"/>
      <x:c r="E489" s="22"/>
      <x:c r="F489" s="22"/>
      <x:c r="G489" s="22"/>
      <x:c r="H489" s="26"/>
      <x:c r="I489" s="22"/>
      <x:c r="J489" s="22"/>
      <x:c r="K489" s="22"/>
      <x:c r="L489" s="22" t="str">
        <x:f>IF(OR(H489="",J489="Состоялась",J489="Отменена"),"",H489-TODAY())</x:f>
      </x:c>
    </x:row>
    <x:row r="490">
      <x:c r="A490" s="22" t="str">
        <x:f>IF(B490="","","CP-"&amp;TEXT(ROW()-2,"0000"))</x:f>
      </x:c>
      <x:c r="B490" s="22"/>
      <x:c r="C490" s="26"/>
      <x:c r="D490" s="22"/>
      <x:c r="E490" s="22"/>
      <x:c r="F490" s="22"/>
      <x:c r="G490" s="22"/>
      <x:c r="H490" s="26"/>
      <x:c r="I490" s="22"/>
      <x:c r="J490" s="22"/>
      <x:c r="K490" s="22"/>
      <x:c r="L490" s="22" t="str">
        <x:f>IF(OR(H490="",J490="Состоялась",J490="Отменена"),"",H490-TODAY())</x:f>
      </x:c>
    </x:row>
    <x:row r="491">
      <x:c r="A491" s="22" t="str">
        <x:f>IF(B491="","","CP-"&amp;TEXT(ROW()-2,"0000"))</x:f>
      </x:c>
      <x:c r="B491" s="22"/>
      <x:c r="C491" s="26"/>
      <x:c r="D491" s="22"/>
      <x:c r="E491" s="22"/>
      <x:c r="F491" s="22"/>
      <x:c r="G491" s="22"/>
      <x:c r="H491" s="26"/>
      <x:c r="I491" s="22"/>
      <x:c r="J491" s="22"/>
      <x:c r="K491" s="22"/>
      <x:c r="L491" s="22" t="str">
        <x:f>IF(OR(H491="",J491="Состоялась",J491="Отменена"),"",H491-TODAY())</x:f>
      </x:c>
    </x:row>
    <x:row r="492">
      <x:c r="A492" s="22" t="str">
        <x:f>IF(B492="","","CP-"&amp;TEXT(ROW()-2,"0000"))</x:f>
      </x:c>
      <x:c r="B492" s="22"/>
      <x:c r="C492" s="26"/>
      <x:c r="D492" s="22"/>
      <x:c r="E492" s="22"/>
      <x:c r="F492" s="22"/>
      <x:c r="G492" s="22"/>
      <x:c r="H492" s="26"/>
      <x:c r="I492" s="22"/>
      <x:c r="J492" s="22"/>
      <x:c r="K492" s="22"/>
      <x:c r="L492" s="22" t="str">
        <x:f>IF(OR(H492="",J492="Состоялась",J492="Отменена"),"",H492-TODAY())</x:f>
      </x:c>
    </x:row>
    <x:row r="493">
      <x:c r="A493" s="22" t="str">
        <x:f>IF(B493="","","CP-"&amp;TEXT(ROW()-2,"0000"))</x:f>
      </x:c>
      <x:c r="B493" s="22"/>
      <x:c r="C493" s="26"/>
      <x:c r="D493" s="22"/>
      <x:c r="E493" s="22"/>
      <x:c r="F493" s="22"/>
      <x:c r="G493" s="22"/>
      <x:c r="H493" s="26"/>
      <x:c r="I493" s="22"/>
      <x:c r="J493" s="22"/>
      <x:c r="K493" s="22"/>
      <x:c r="L493" s="22" t="str">
        <x:f>IF(OR(H493="",J493="Состоялась",J493="Отменена"),"",H493-TODAY())</x:f>
      </x:c>
    </x:row>
    <x:row r="494">
      <x:c r="A494" s="22" t="str">
        <x:f>IF(B494="","","CP-"&amp;TEXT(ROW()-2,"0000"))</x:f>
      </x:c>
      <x:c r="B494" s="22"/>
      <x:c r="C494" s="26"/>
      <x:c r="D494" s="22"/>
      <x:c r="E494" s="22"/>
      <x:c r="F494" s="22"/>
      <x:c r="G494" s="22"/>
      <x:c r="H494" s="26"/>
      <x:c r="I494" s="22"/>
      <x:c r="J494" s="22"/>
      <x:c r="K494" s="22"/>
      <x:c r="L494" s="22" t="str">
        <x:f>IF(OR(H494="",J494="Состоялась",J494="Отменена"),"",H494-TODAY())</x:f>
      </x:c>
    </x:row>
    <x:row r="495">
      <x:c r="A495" s="22" t="str">
        <x:f>IF(B495="","","CP-"&amp;TEXT(ROW()-2,"0000"))</x:f>
      </x:c>
      <x:c r="B495" s="22"/>
      <x:c r="C495" s="26"/>
      <x:c r="D495" s="22"/>
      <x:c r="E495" s="22"/>
      <x:c r="F495" s="22"/>
      <x:c r="G495" s="22"/>
      <x:c r="H495" s="26"/>
      <x:c r="I495" s="22"/>
      <x:c r="J495" s="22"/>
      <x:c r="K495" s="22"/>
      <x:c r="L495" s="22" t="str">
        <x:f>IF(OR(H495="",J495="Состоялась",J495="Отменена"),"",H495-TODAY())</x:f>
      </x:c>
    </x:row>
    <x:row r="496">
      <x:c r="A496" s="22" t="str">
        <x:f>IF(B496="","","CP-"&amp;TEXT(ROW()-2,"0000"))</x:f>
      </x:c>
      <x:c r="B496" s="22"/>
      <x:c r="C496" s="26"/>
      <x:c r="D496" s="22"/>
      <x:c r="E496" s="22"/>
      <x:c r="F496" s="22"/>
      <x:c r="G496" s="22"/>
      <x:c r="H496" s="26"/>
      <x:c r="I496" s="22"/>
      <x:c r="J496" s="22"/>
      <x:c r="K496" s="22"/>
      <x:c r="L496" s="22" t="str">
        <x:f>IF(OR(H496="",J496="Состоялась",J496="Отменена"),"",H496-TODAY())</x:f>
      </x:c>
    </x:row>
    <x:row r="497">
      <x:c r="A497" s="22" t="str">
        <x:f>IF(B497="","","CP-"&amp;TEXT(ROW()-2,"0000"))</x:f>
      </x:c>
      <x:c r="B497" s="22"/>
      <x:c r="C497" s="26"/>
      <x:c r="D497" s="22"/>
      <x:c r="E497" s="22"/>
      <x:c r="F497" s="22"/>
      <x:c r="G497" s="22"/>
      <x:c r="H497" s="26"/>
      <x:c r="I497" s="22"/>
      <x:c r="J497" s="22"/>
      <x:c r="K497" s="22"/>
      <x:c r="L497" s="22" t="str">
        <x:f>IF(OR(H497="",J497="Состоялась",J497="Отменена"),"",H497-TODAY())</x:f>
      </x:c>
    </x:row>
    <x:row r="498">
      <x:c r="A498" s="22" t="str">
        <x:f>IF(B498="","","CP-"&amp;TEXT(ROW()-2,"0000"))</x:f>
      </x:c>
      <x:c r="B498" s="22"/>
      <x:c r="C498" s="26"/>
      <x:c r="D498" s="22"/>
      <x:c r="E498" s="22"/>
      <x:c r="F498" s="22"/>
      <x:c r="G498" s="22"/>
      <x:c r="H498" s="26"/>
      <x:c r="I498" s="22"/>
      <x:c r="J498" s="22"/>
      <x:c r="K498" s="22"/>
      <x:c r="L498" s="22" t="str">
        <x:f>IF(OR(H498="",J498="Состоялась",J498="Отменена"),"",H498-TODAY())</x:f>
      </x:c>
    </x:row>
    <x:row r="499">
      <x:c r="A499" s="22" t="str">
        <x:f>IF(B499="","","CP-"&amp;TEXT(ROW()-2,"0000"))</x:f>
      </x:c>
      <x:c r="B499" s="22"/>
      <x:c r="C499" s="26"/>
      <x:c r="D499" s="22"/>
      <x:c r="E499" s="22"/>
      <x:c r="F499" s="22"/>
      <x:c r="G499" s="22"/>
      <x:c r="H499" s="26"/>
      <x:c r="I499" s="22"/>
      <x:c r="J499" s="22"/>
      <x:c r="K499" s="22"/>
      <x:c r="L499" s="22" t="str">
        <x:f>IF(OR(H499="",J499="Состоялась",J499="Отменена"),"",H499-TODAY())</x:f>
      </x:c>
    </x:row>
    <x:row r="500">
      <x:c r="A500" s="22" t="str">
        <x:f>IF(B500="","","CP-"&amp;TEXT(ROW()-2,"0000"))</x:f>
      </x:c>
      <x:c r="B500" s="22"/>
      <x:c r="C500" s="26"/>
      <x:c r="D500" s="22"/>
      <x:c r="E500" s="22"/>
      <x:c r="F500" s="22"/>
      <x:c r="G500" s="22"/>
      <x:c r="H500" s="26"/>
      <x:c r="I500" s="22"/>
      <x:c r="J500" s="22"/>
      <x:c r="K500" s="22"/>
      <x:c r="L500" s="22" t="str">
        <x:f>IF(OR(H500="",J500="Состоялась",J500="Отменена"),"",H500-TODAY())</x:f>
      </x:c>
    </x:row>
    <x:row r="501">
      <x:c r="A501" s="22" t="str">
        <x:f>IF(B501="","","CP-"&amp;TEXT(ROW()-2,"0000"))</x:f>
      </x:c>
      <x:c r="B501" s="22"/>
      <x:c r="C501" s="26"/>
      <x:c r="D501" s="22"/>
      <x:c r="E501" s="22"/>
      <x:c r="F501" s="22"/>
      <x:c r="G501" s="22"/>
      <x:c r="H501" s="26"/>
      <x:c r="I501" s="22"/>
      <x:c r="J501" s="22"/>
      <x:c r="K501" s="22"/>
      <x:c r="L501" s="22" t="str">
        <x:f>IF(OR(H501="",J501="Состоялась",J501="Отменена"),"",H501-TODAY())</x:f>
      </x:c>
    </x:row>
    <x:row r="502">
      <x:c r="A502" s="22" t="str">
        <x:f>IF(B502="","","CP-"&amp;TEXT(ROW()-2,"0000"))</x:f>
      </x:c>
      <x:c r="B502" s="22"/>
      <x:c r="C502" s="26"/>
      <x:c r="D502" s="22"/>
      <x:c r="E502" s="22"/>
      <x:c r="F502" s="22"/>
      <x:c r="G502" s="22"/>
      <x:c r="H502" s="26"/>
      <x:c r="I502" s="22"/>
      <x:c r="J502" s="22"/>
      <x:c r="K502" s="22"/>
      <x:c r="L502" s="22" t="str">
        <x:f>IF(OR(H502="",J502="Состоялась",J502="Отменена"),"",H502-TODAY())</x:f>
      </x:c>
    </x:row>
    <x:row r="503">
      <x:c r="A503" s="22" t="str">
        <x:f>IF(B503="","","CP-"&amp;TEXT(ROW()-2,"0000"))</x:f>
      </x:c>
      <x:c r="B503" s="22"/>
      <x:c r="C503" s="26"/>
      <x:c r="D503" s="22"/>
      <x:c r="E503" s="22"/>
      <x:c r="F503" s="22"/>
      <x:c r="G503" s="22"/>
      <x:c r="H503" s="26"/>
      <x:c r="I503" s="22"/>
      <x:c r="J503" s="22"/>
      <x:c r="K503" s="22"/>
      <x:c r="L503" s="22" t="str">
        <x:f>IF(OR(H503="",J503="Состоялась",J503="Отменена"),"",H503-TODAY())</x:f>
      </x:c>
    </x:row>
    <x:row r="504">
      <x:c r="A504" s="22" t="str">
        <x:f>IF(B504="","","CP-"&amp;TEXT(ROW()-2,"0000"))</x:f>
      </x:c>
      <x:c r="B504" s="22"/>
      <x:c r="C504" s="26"/>
      <x:c r="D504" s="22"/>
      <x:c r="E504" s="22"/>
      <x:c r="F504" s="22"/>
      <x:c r="G504" s="22"/>
      <x:c r="H504" s="26"/>
      <x:c r="I504" s="22"/>
      <x:c r="J504" s="22"/>
      <x:c r="K504" s="22"/>
      <x:c r="L504" s="22" t="str">
        <x:f>IF(OR(H504="",J504="Состоялась",J504="Отменена"),"",H504-TODAY())</x:f>
      </x:c>
    </x:row>
    <x:row r="505">
      <x:c r="A505" s="22" t="str">
        <x:f>IF(B505="","","CP-"&amp;TEXT(ROW()-2,"0000"))</x:f>
      </x:c>
      <x:c r="B505" s="22"/>
      <x:c r="C505" s="26"/>
      <x:c r="D505" s="22"/>
      <x:c r="E505" s="22"/>
      <x:c r="F505" s="22"/>
      <x:c r="G505" s="22"/>
      <x:c r="H505" s="26"/>
      <x:c r="I505" s="22"/>
      <x:c r="J505" s="22"/>
      <x:c r="K505" s="22"/>
      <x:c r="L505" s="22" t="str">
        <x:f>IF(OR(H505="",J505="Состоялась",J505="Отменена"),"",H505-TODAY())</x:f>
      </x:c>
    </x:row>
    <x:row r="506">
      <x:c r="A506" s="22" t="str">
        <x:f>IF(B506="","","CP-"&amp;TEXT(ROW()-2,"0000"))</x:f>
      </x:c>
      <x:c r="B506" s="22"/>
      <x:c r="C506" s="26"/>
      <x:c r="D506" s="22"/>
      <x:c r="E506" s="22"/>
      <x:c r="F506" s="22"/>
      <x:c r="G506" s="22"/>
      <x:c r="H506" s="26"/>
      <x:c r="I506" s="22"/>
      <x:c r="J506" s="22"/>
      <x:c r="K506" s="22"/>
      <x:c r="L506" s="22" t="str">
        <x:f>IF(OR(H506="",J506="Состоялась",J506="Отменена"),"",H506-TODAY())</x:f>
      </x:c>
    </x:row>
    <x:row r="507">
      <x:c r="A507" s="22" t="str">
        <x:f>IF(B507="","","CP-"&amp;TEXT(ROW()-2,"0000"))</x:f>
      </x:c>
      <x:c r="B507" s="22"/>
      <x:c r="C507" s="26"/>
      <x:c r="D507" s="22"/>
      <x:c r="E507" s="22"/>
      <x:c r="F507" s="22"/>
      <x:c r="G507" s="22"/>
      <x:c r="H507" s="26"/>
      <x:c r="I507" s="22"/>
      <x:c r="J507" s="22"/>
      <x:c r="K507" s="22"/>
      <x:c r="L507" s="22" t="str">
        <x:f>IF(OR(H507="",J507="Состоялась",J507="Отменена"),"",H507-TODAY())</x:f>
      </x:c>
    </x:row>
    <x:row r="508">
      <x:c r="A508" s="22" t="str">
        <x:f>IF(B508="","","CP-"&amp;TEXT(ROW()-2,"0000"))</x:f>
      </x:c>
      <x:c r="B508" s="22"/>
      <x:c r="C508" s="26"/>
      <x:c r="D508" s="22"/>
      <x:c r="E508" s="22"/>
      <x:c r="F508" s="22"/>
      <x:c r="G508" s="22"/>
      <x:c r="H508" s="26"/>
      <x:c r="I508" s="22"/>
      <x:c r="J508" s="22"/>
      <x:c r="K508" s="22"/>
      <x:c r="L508" s="22" t="str">
        <x:f>IF(OR(H508="",J508="Состоялась",J508="Отменена"),"",H508-TODAY())</x:f>
      </x:c>
    </x:row>
    <x:row r="509">
      <x:c r="A509" s="22" t="str">
        <x:f>IF(B509="","","CP-"&amp;TEXT(ROW()-2,"0000"))</x:f>
      </x:c>
      <x:c r="B509" s="22"/>
      <x:c r="C509" s="26"/>
      <x:c r="D509" s="22"/>
      <x:c r="E509" s="22"/>
      <x:c r="F509" s="22"/>
      <x:c r="G509" s="22"/>
      <x:c r="H509" s="26"/>
      <x:c r="I509" s="22"/>
      <x:c r="J509" s="22"/>
      <x:c r="K509" s="22"/>
      <x:c r="L509" s="22" t="str">
        <x:f>IF(OR(H509="",J509="Состоялась",J509="Отменена"),"",H509-TODAY())</x:f>
      </x:c>
    </x:row>
    <x:row r="510">
      <x:c r="A510" s="22" t="str">
        <x:f>IF(B510="","","CP-"&amp;TEXT(ROW()-2,"0000"))</x:f>
      </x:c>
      <x:c r="B510" s="22"/>
      <x:c r="C510" s="26"/>
      <x:c r="D510" s="22"/>
      <x:c r="E510" s="22"/>
      <x:c r="F510" s="22"/>
      <x:c r="G510" s="22"/>
      <x:c r="H510" s="26"/>
      <x:c r="I510" s="22"/>
      <x:c r="J510" s="22"/>
      <x:c r="K510" s="22"/>
      <x:c r="L510" s="22" t="str">
        <x:f>IF(OR(H510="",J510="Состоялась",J510="Отменена"),"",H510-TODAY())</x:f>
      </x:c>
    </x:row>
    <x:row r="511">
      <x:c r="A511" s="22" t="str">
        <x:f>IF(B511="","","CP-"&amp;TEXT(ROW()-2,"0000"))</x:f>
      </x:c>
      <x:c r="B511" s="22"/>
      <x:c r="C511" s="26"/>
      <x:c r="D511" s="22"/>
      <x:c r="E511" s="22"/>
      <x:c r="F511" s="22"/>
      <x:c r="G511" s="22"/>
      <x:c r="H511" s="26"/>
      <x:c r="I511" s="22"/>
      <x:c r="J511" s="22"/>
      <x:c r="K511" s="22"/>
      <x:c r="L511" s="22" t="str">
        <x:f>IF(OR(H511="",J511="Состоялась",J511="Отменена"),"",H511-TODAY())</x:f>
      </x:c>
    </x:row>
    <x:row r="512">
      <x:c r="A512" s="22" t="str">
        <x:f>IF(B512="","","CP-"&amp;TEXT(ROW()-2,"0000"))</x:f>
      </x:c>
      <x:c r="B512" s="22"/>
      <x:c r="C512" s="26"/>
      <x:c r="D512" s="22"/>
      <x:c r="E512" s="22"/>
      <x:c r="F512" s="22"/>
      <x:c r="G512" s="22"/>
      <x:c r="H512" s="26"/>
      <x:c r="I512" s="22"/>
      <x:c r="J512" s="22"/>
      <x:c r="K512" s="22"/>
      <x:c r="L512" s="22" t="str">
        <x:f>IF(OR(H512="",J512="Состоялась",J512="Отменена"),"",H512-TODAY())</x:f>
      </x:c>
    </x:row>
    <x:row r="513">
      <x:c r="A513" s="22" t="str">
        <x:f>IF(B513="","","CP-"&amp;TEXT(ROW()-2,"0000"))</x:f>
      </x:c>
      <x:c r="B513" s="22"/>
      <x:c r="C513" s="26"/>
      <x:c r="D513" s="22"/>
      <x:c r="E513" s="22"/>
      <x:c r="F513" s="22"/>
      <x:c r="G513" s="22"/>
      <x:c r="H513" s="26"/>
      <x:c r="I513" s="22"/>
      <x:c r="J513" s="22"/>
      <x:c r="K513" s="22"/>
      <x:c r="L513" s="22" t="str">
        <x:f>IF(OR(H513="",J513="Состоялась",J513="Отменена"),"",H513-TODAY())</x:f>
      </x:c>
    </x:row>
    <x:row r="514">
      <x:c r="A514" s="22" t="str">
        <x:f>IF(B514="","","CP-"&amp;TEXT(ROW()-2,"0000"))</x:f>
      </x:c>
      <x:c r="B514" s="22"/>
      <x:c r="C514" s="26"/>
      <x:c r="D514" s="22"/>
      <x:c r="E514" s="22"/>
      <x:c r="F514" s="22"/>
      <x:c r="G514" s="22"/>
      <x:c r="H514" s="26"/>
      <x:c r="I514" s="22"/>
      <x:c r="J514" s="22"/>
      <x:c r="K514" s="22"/>
      <x:c r="L514" s="22" t="str">
        <x:f>IF(OR(H514="",J514="Состоялась",J514="Отменена"),"",H514-TODAY())</x:f>
      </x:c>
    </x:row>
    <x:row r="515">
      <x:c r="A515" s="22" t="str">
        <x:f>IF(B515="","","CP-"&amp;TEXT(ROW()-2,"0000"))</x:f>
      </x:c>
      <x:c r="B515" s="22"/>
      <x:c r="C515" s="26"/>
      <x:c r="D515" s="22"/>
      <x:c r="E515" s="22"/>
      <x:c r="F515" s="22"/>
      <x:c r="G515" s="22"/>
      <x:c r="H515" s="26"/>
      <x:c r="I515" s="22"/>
      <x:c r="J515" s="22"/>
      <x:c r="K515" s="22"/>
      <x:c r="L515" s="22" t="str">
        <x:f>IF(OR(H515="",J515="Состоялась",J515="Отменена"),"",H515-TODAY())</x:f>
      </x:c>
    </x:row>
    <x:row r="516">
      <x:c r="A516" s="22" t="str">
        <x:f>IF(B516="","","CP-"&amp;TEXT(ROW()-2,"0000"))</x:f>
      </x:c>
      <x:c r="B516" s="22"/>
      <x:c r="C516" s="26"/>
      <x:c r="D516" s="22"/>
      <x:c r="E516" s="22"/>
      <x:c r="F516" s="22"/>
      <x:c r="G516" s="22"/>
      <x:c r="H516" s="26"/>
      <x:c r="I516" s="22"/>
      <x:c r="J516" s="22"/>
      <x:c r="K516" s="22"/>
      <x:c r="L516" s="22" t="str">
        <x:f>IF(OR(H516="",J516="Состоялась",J516="Отменена"),"",H516-TODAY())</x:f>
      </x:c>
    </x:row>
    <x:row r="517">
      <x:c r="A517" s="22" t="str">
        <x:f>IF(B517="","","CP-"&amp;TEXT(ROW()-2,"0000"))</x:f>
      </x:c>
      <x:c r="B517" s="22"/>
      <x:c r="C517" s="26"/>
      <x:c r="D517" s="22"/>
      <x:c r="E517" s="22"/>
      <x:c r="F517" s="22"/>
      <x:c r="G517" s="22"/>
      <x:c r="H517" s="26"/>
      <x:c r="I517" s="22"/>
      <x:c r="J517" s="22"/>
      <x:c r="K517" s="22"/>
      <x:c r="L517" s="22" t="str">
        <x:f>IF(OR(H517="",J517="Состоялась",J517="Отменена"),"",H517-TODAY())</x:f>
      </x:c>
    </x:row>
    <x:row r="518">
      <x:c r="A518" s="22" t="str">
        <x:f>IF(B518="","","CP-"&amp;TEXT(ROW()-2,"0000"))</x:f>
      </x:c>
      <x:c r="B518" s="22"/>
      <x:c r="C518" s="26"/>
      <x:c r="D518" s="22"/>
      <x:c r="E518" s="22"/>
      <x:c r="F518" s="22"/>
      <x:c r="G518" s="22"/>
      <x:c r="H518" s="26"/>
      <x:c r="I518" s="22"/>
      <x:c r="J518" s="22"/>
      <x:c r="K518" s="22"/>
      <x:c r="L518" s="22" t="str">
        <x:f>IF(OR(H518="",J518="Состоялась",J518="Отменена"),"",H518-TODAY())</x:f>
      </x:c>
    </x:row>
    <x:row r="519">
      <x:c r="A519" s="22" t="str">
        <x:f>IF(B519="","","CP-"&amp;TEXT(ROW()-2,"0000"))</x:f>
      </x:c>
      <x:c r="B519" s="22"/>
      <x:c r="C519" s="26"/>
      <x:c r="D519" s="22"/>
      <x:c r="E519" s="22"/>
      <x:c r="F519" s="22"/>
      <x:c r="G519" s="22"/>
      <x:c r="H519" s="26"/>
      <x:c r="I519" s="22"/>
      <x:c r="J519" s="22"/>
      <x:c r="K519" s="22"/>
      <x:c r="L519" s="22" t="str">
        <x:f>IF(OR(H519="",J519="Состоялась",J519="Отменена"),"",H519-TODAY())</x:f>
      </x:c>
    </x:row>
    <x:row r="520">
      <x:c r="A520" s="22" t="str">
        <x:f>IF(B520="","","CP-"&amp;TEXT(ROW()-2,"0000"))</x:f>
      </x:c>
      <x:c r="B520" s="22"/>
      <x:c r="C520" s="26"/>
      <x:c r="D520" s="22"/>
      <x:c r="E520" s="22"/>
      <x:c r="F520" s="22"/>
      <x:c r="G520" s="22"/>
      <x:c r="H520" s="26"/>
      <x:c r="I520" s="22"/>
      <x:c r="J520" s="22"/>
      <x:c r="K520" s="22"/>
      <x:c r="L520" s="22" t="str">
        <x:f>IF(OR(H520="",J520="Состоялась",J520="Отменена"),"",H520-TODAY())</x:f>
      </x:c>
    </x:row>
    <x:row r="521">
      <x:c r="A521" s="22" t="str">
        <x:f>IF(B521="","","CP-"&amp;TEXT(ROW()-2,"0000"))</x:f>
      </x:c>
      <x:c r="B521" s="22"/>
      <x:c r="C521" s="26"/>
      <x:c r="D521" s="22"/>
      <x:c r="E521" s="22"/>
      <x:c r="F521" s="22"/>
      <x:c r="G521" s="22"/>
      <x:c r="H521" s="26"/>
      <x:c r="I521" s="22"/>
      <x:c r="J521" s="22"/>
      <x:c r="K521" s="22"/>
      <x:c r="L521" s="22" t="str">
        <x:f>IF(OR(H521="",J521="Состоялась",J521="Отменена"),"",H521-TODAY())</x:f>
      </x:c>
    </x:row>
    <x:row r="522">
      <x:c r="A522" s="22" t="str">
        <x:f>IF(B522="","","CP-"&amp;TEXT(ROW()-2,"0000"))</x:f>
      </x:c>
      <x:c r="B522" s="22"/>
      <x:c r="C522" s="26"/>
      <x:c r="D522" s="22"/>
      <x:c r="E522" s="22"/>
      <x:c r="F522" s="22"/>
      <x:c r="G522" s="22"/>
      <x:c r="H522" s="26"/>
      <x:c r="I522" s="22"/>
      <x:c r="J522" s="22"/>
      <x:c r="K522" s="22"/>
      <x:c r="L522" s="22" t="str">
        <x:f>IF(OR(H522="",J522="Состоялась",J522="Отменена"),"",H522-TODAY())</x:f>
      </x:c>
    </x:row>
    <x:row r="523">
      <x:c r="A523" s="22" t="str">
        <x:f>IF(B523="","","CP-"&amp;TEXT(ROW()-2,"0000"))</x:f>
      </x:c>
      <x:c r="B523" s="22"/>
      <x:c r="C523" s="26"/>
      <x:c r="D523" s="22"/>
      <x:c r="E523" s="22"/>
      <x:c r="F523" s="22"/>
      <x:c r="G523" s="22"/>
      <x:c r="H523" s="26"/>
      <x:c r="I523" s="22"/>
      <x:c r="J523" s="22"/>
      <x:c r="K523" s="22"/>
      <x:c r="L523" s="22" t="str">
        <x:f>IF(OR(H523="",J523="Состоялась",J523="Отменена"),"",H523-TODAY())</x:f>
      </x:c>
    </x:row>
    <x:row r="524">
      <x:c r="A524" s="22" t="str">
        <x:f>IF(B524="","","CP-"&amp;TEXT(ROW()-2,"0000"))</x:f>
      </x:c>
      <x:c r="B524" s="22"/>
      <x:c r="C524" s="26"/>
      <x:c r="D524" s="22"/>
      <x:c r="E524" s="22"/>
      <x:c r="F524" s="22"/>
      <x:c r="G524" s="22"/>
      <x:c r="H524" s="26"/>
      <x:c r="I524" s="22"/>
      <x:c r="J524" s="22"/>
      <x:c r="K524" s="22"/>
      <x:c r="L524" s="22" t="str">
        <x:f>IF(OR(H524="",J524="Состоялась",J524="Отменена"),"",H524-TODAY())</x:f>
      </x:c>
    </x:row>
    <x:row r="525">
      <x:c r="A525" s="22" t="str">
        <x:f>IF(B525="","","CP-"&amp;TEXT(ROW()-2,"0000"))</x:f>
      </x:c>
      <x:c r="B525" s="22"/>
      <x:c r="C525" s="26"/>
      <x:c r="D525" s="22"/>
      <x:c r="E525" s="22"/>
      <x:c r="F525" s="22"/>
      <x:c r="G525" s="22"/>
      <x:c r="H525" s="26"/>
      <x:c r="I525" s="22"/>
      <x:c r="J525" s="22"/>
      <x:c r="K525" s="22"/>
      <x:c r="L525" s="22" t="str">
        <x:f>IF(OR(H525="",J525="Состоялась",J525="Отменена"),"",H525-TODAY())</x:f>
      </x:c>
    </x:row>
    <x:row r="526">
      <x:c r="A526" s="22" t="str">
        <x:f>IF(B526="","","CP-"&amp;TEXT(ROW()-2,"0000"))</x:f>
      </x:c>
      <x:c r="B526" s="22"/>
      <x:c r="C526" s="26"/>
      <x:c r="D526" s="22"/>
      <x:c r="E526" s="22"/>
      <x:c r="F526" s="22"/>
      <x:c r="G526" s="22"/>
      <x:c r="H526" s="26"/>
      <x:c r="I526" s="22"/>
      <x:c r="J526" s="22"/>
      <x:c r="K526" s="22"/>
      <x:c r="L526" s="22" t="str">
        <x:f>IF(OR(H526="",J526="Состоялась",J526="Отменена"),"",H526-TODAY())</x:f>
      </x:c>
    </x:row>
    <x:row r="527">
      <x:c r="A527" s="22" t="str">
        <x:f>IF(B527="","","CP-"&amp;TEXT(ROW()-2,"0000"))</x:f>
      </x:c>
      <x:c r="B527" s="22"/>
      <x:c r="C527" s="26"/>
      <x:c r="D527" s="22"/>
      <x:c r="E527" s="22"/>
      <x:c r="F527" s="22"/>
      <x:c r="G527" s="22"/>
      <x:c r="H527" s="26"/>
      <x:c r="I527" s="22"/>
      <x:c r="J527" s="22"/>
      <x:c r="K527" s="22"/>
      <x:c r="L527" s="22" t="str">
        <x:f>IF(OR(H527="",J527="Состоялась",J527="Отменена"),"",H527-TODAY())</x:f>
      </x:c>
    </x:row>
    <x:row r="528">
      <x:c r="A528" s="22" t="str">
        <x:f>IF(B528="","","CP-"&amp;TEXT(ROW()-2,"0000"))</x:f>
      </x:c>
      <x:c r="B528" s="22"/>
      <x:c r="C528" s="26"/>
      <x:c r="D528" s="22"/>
      <x:c r="E528" s="22"/>
      <x:c r="F528" s="22"/>
      <x:c r="G528" s="22"/>
      <x:c r="H528" s="26"/>
      <x:c r="I528" s="22"/>
      <x:c r="J528" s="22"/>
      <x:c r="K528" s="22"/>
      <x:c r="L528" s="22" t="str">
        <x:f>IF(OR(H528="",J528="Состоялась",J528="Отменена"),"",H528-TODAY())</x:f>
      </x:c>
    </x:row>
    <x:row r="529">
      <x:c r="A529" s="22" t="str">
        <x:f>IF(B529="","","CP-"&amp;TEXT(ROW()-2,"0000"))</x:f>
      </x:c>
      <x:c r="B529" s="22"/>
      <x:c r="C529" s="26"/>
      <x:c r="D529" s="22"/>
      <x:c r="E529" s="22"/>
      <x:c r="F529" s="22"/>
      <x:c r="G529" s="22"/>
      <x:c r="H529" s="26"/>
      <x:c r="I529" s="22"/>
      <x:c r="J529" s="22"/>
      <x:c r="K529" s="22"/>
      <x:c r="L529" s="22" t="str">
        <x:f>IF(OR(H529="",J529="Состоялась",J529="Отменена"),"",H529-TODAY())</x:f>
      </x:c>
    </x:row>
    <x:row r="530">
      <x:c r="A530" s="22" t="str">
        <x:f>IF(B530="","","CP-"&amp;TEXT(ROW()-2,"0000"))</x:f>
      </x:c>
      <x:c r="B530" s="22"/>
      <x:c r="C530" s="26"/>
      <x:c r="D530" s="22"/>
      <x:c r="E530" s="22"/>
      <x:c r="F530" s="22"/>
      <x:c r="G530" s="22"/>
      <x:c r="H530" s="26"/>
      <x:c r="I530" s="22"/>
      <x:c r="J530" s="22"/>
      <x:c r="K530" s="22"/>
      <x:c r="L530" s="22" t="str">
        <x:f>IF(OR(H530="",J530="Состоялась",J530="Отменена"),"",H530-TODAY())</x:f>
      </x:c>
    </x:row>
    <x:row r="531">
      <x:c r="A531" s="22" t="str">
        <x:f>IF(B531="","","CP-"&amp;TEXT(ROW()-2,"0000"))</x:f>
      </x:c>
      <x:c r="B531" s="22"/>
      <x:c r="C531" s="26"/>
      <x:c r="D531" s="22"/>
      <x:c r="E531" s="22"/>
      <x:c r="F531" s="22"/>
      <x:c r="G531" s="22"/>
      <x:c r="H531" s="26"/>
      <x:c r="I531" s="22"/>
      <x:c r="J531" s="22"/>
      <x:c r="K531" s="22"/>
      <x:c r="L531" s="22" t="str">
        <x:f>IF(OR(H531="",J531="Состоялась",J531="Отменена"),"",H531-TODAY())</x:f>
      </x:c>
    </x:row>
    <x:row r="532">
      <x:c r="A532" s="22" t="str">
        <x:f>IF(B532="","","CP-"&amp;TEXT(ROW()-2,"0000"))</x:f>
      </x:c>
      <x:c r="B532" s="22"/>
      <x:c r="C532" s="26"/>
      <x:c r="D532" s="22"/>
      <x:c r="E532" s="22"/>
      <x:c r="F532" s="22"/>
      <x:c r="G532" s="22"/>
      <x:c r="H532" s="26"/>
      <x:c r="I532" s="22"/>
      <x:c r="J532" s="22"/>
      <x:c r="K532" s="22"/>
      <x:c r="L532" s="22" t="str">
        <x:f>IF(OR(H532="",J532="Состоялась",J532="Отменена"),"",H532-TODAY())</x:f>
      </x:c>
    </x:row>
    <x:row r="533">
      <x:c r="A533" s="22" t="str">
        <x:f>IF(B533="","","CP-"&amp;TEXT(ROW()-2,"0000"))</x:f>
      </x:c>
      <x:c r="B533" s="22"/>
      <x:c r="C533" s="26"/>
      <x:c r="D533" s="22"/>
      <x:c r="E533" s="22"/>
      <x:c r="F533" s="22"/>
      <x:c r="G533" s="22"/>
      <x:c r="H533" s="26"/>
      <x:c r="I533" s="22"/>
      <x:c r="J533" s="22"/>
      <x:c r="K533" s="22"/>
      <x:c r="L533" s="22" t="str">
        <x:f>IF(OR(H533="",J533="Состоялась",J533="Отменена"),"",H533-TODAY())</x:f>
      </x:c>
    </x:row>
    <x:row r="534">
      <x:c r="A534" s="22" t="str">
        <x:f>IF(B534="","","CP-"&amp;TEXT(ROW()-2,"0000"))</x:f>
      </x:c>
      <x:c r="B534" s="22"/>
      <x:c r="C534" s="26"/>
      <x:c r="D534" s="22"/>
      <x:c r="E534" s="22"/>
      <x:c r="F534" s="22"/>
      <x:c r="G534" s="22"/>
      <x:c r="H534" s="26"/>
      <x:c r="I534" s="22"/>
      <x:c r="J534" s="22"/>
      <x:c r="K534" s="22"/>
      <x:c r="L534" s="22" t="str">
        <x:f>IF(OR(H534="",J534="Состоялась",J534="Отменена"),"",H534-TODAY())</x:f>
      </x:c>
    </x:row>
    <x:row r="535">
      <x:c r="A535" s="22" t="str">
        <x:f>IF(B535="","","CP-"&amp;TEXT(ROW()-2,"0000"))</x:f>
      </x:c>
      <x:c r="B535" s="22"/>
      <x:c r="C535" s="26"/>
      <x:c r="D535" s="22"/>
      <x:c r="E535" s="22"/>
      <x:c r="F535" s="22"/>
      <x:c r="G535" s="22"/>
      <x:c r="H535" s="26"/>
      <x:c r="I535" s="22"/>
      <x:c r="J535" s="22"/>
      <x:c r="K535" s="22"/>
      <x:c r="L535" s="22" t="str">
        <x:f>IF(OR(H535="",J535="Состоялась",J535="Отменена"),"",H535-TODAY())</x:f>
      </x:c>
    </x:row>
    <x:row r="536">
      <x:c r="A536" s="22" t="str">
        <x:f>IF(B536="","","CP-"&amp;TEXT(ROW()-2,"0000"))</x:f>
      </x:c>
      <x:c r="B536" s="22"/>
      <x:c r="C536" s="26"/>
      <x:c r="D536" s="22"/>
      <x:c r="E536" s="22"/>
      <x:c r="F536" s="22"/>
      <x:c r="G536" s="22"/>
      <x:c r="H536" s="26"/>
      <x:c r="I536" s="22"/>
      <x:c r="J536" s="22"/>
      <x:c r="K536" s="22"/>
      <x:c r="L536" s="22" t="str">
        <x:f>IF(OR(H536="",J536="Состоялась",J536="Отменена"),"",H536-TODAY())</x:f>
      </x:c>
    </x:row>
    <x:row r="537">
      <x:c r="A537" s="22" t="str">
        <x:f>IF(B537="","","CP-"&amp;TEXT(ROW()-2,"0000"))</x:f>
      </x:c>
      <x:c r="B537" s="22"/>
      <x:c r="C537" s="26"/>
      <x:c r="D537" s="22"/>
      <x:c r="E537" s="22"/>
      <x:c r="F537" s="22"/>
      <x:c r="G537" s="22"/>
      <x:c r="H537" s="26"/>
      <x:c r="I537" s="22"/>
      <x:c r="J537" s="22"/>
      <x:c r="K537" s="22"/>
      <x:c r="L537" s="22" t="str">
        <x:f>IF(OR(H537="",J537="Состоялась",J537="Отменена"),"",H537-TODAY())</x:f>
      </x:c>
    </x:row>
    <x:row r="538">
      <x:c r="A538" s="22" t="str">
        <x:f>IF(B538="","","CP-"&amp;TEXT(ROW()-2,"0000"))</x:f>
      </x:c>
      <x:c r="B538" s="22"/>
      <x:c r="C538" s="26"/>
      <x:c r="D538" s="22"/>
      <x:c r="E538" s="22"/>
      <x:c r="F538" s="22"/>
      <x:c r="G538" s="22"/>
      <x:c r="H538" s="26"/>
      <x:c r="I538" s="22"/>
      <x:c r="J538" s="22"/>
      <x:c r="K538" s="22"/>
      <x:c r="L538" s="22" t="str">
        <x:f>IF(OR(H538="",J538="Состоялась",J538="Отменена"),"",H538-TODAY())</x:f>
      </x:c>
    </x:row>
    <x:row r="539">
      <x:c r="A539" s="22" t="str">
        <x:f>IF(B539="","","CP-"&amp;TEXT(ROW()-2,"0000"))</x:f>
      </x:c>
      <x:c r="B539" s="22"/>
      <x:c r="C539" s="26"/>
      <x:c r="D539" s="22"/>
      <x:c r="E539" s="22"/>
      <x:c r="F539" s="22"/>
      <x:c r="G539" s="22"/>
      <x:c r="H539" s="26"/>
      <x:c r="I539" s="22"/>
      <x:c r="J539" s="22"/>
      <x:c r="K539" s="22"/>
      <x:c r="L539" s="22" t="str">
        <x:f>IF(OR(H539="",J539="Состоялась",J539="Отменена"),"",H539-TODAY())</x:f>
      </x:c>
    </x:row>
    <x:row r="540">
      <x:c r="A540" s="22" t="str">
        <x:f>IF(B540="","","CP-"&amp;TEXT(ROW()-2,"0000"))</x:f>
      </x:c>
      <x:c r="B540" s="22"/>
      <x:c r="C540" s="26"/>
      <x:c r="D540" s="22"/>
      <x:c r="E540" s="22"/>
      <x:c r="F540" s="22"/>
      <x:c r="G540" s="22"/>
      <x:c r="H540" s="26"/>
      <x:c r="I540" s="22"/>
      <x:c r="J540" s="22"/>
      <x:c r="K540" s="22"/>
      <x:c r="L540" s="22" t="str">
        <x:f>IF(OR(H540="",J540="Состоялась",J540="Отменена"),"",H540-TODAY())</x:f>
      </x:c>
    </x:row>
    <x:row r="541">
      <x:c r="A541" s="22" t="str">
        <x:f>IF(B541="","","CP-"&amp;TEXT(ROW()-2,"0000"))</x:f>
      </x:c>
      <x:c r="B541" s="22"/>
      <x:c r="C541" s="26"/>
      <x:c r="D541" s="22"/>
      <x:c r="E541" s="22"/>
      <x:c r="F541" s="22"/>
      <x:c r="G541" s="22"/>
      <x:c r="H541" s="26"/>
      <x:c r="I541" s="22"/>
      <x:c r="J541" s="22"/>
      <x:c r="K541" s="22"/>
      <x:c r="L541" s="22" t="str">
        <x:f>IF(OR(H541="",J541="Состоялась",J541="Отменена"),"",H541-TODAY())</x:f>
      </x:c>
    </x:row>
    <x:row r="542">
      <x:c r="A542" s="22" t="str">
        <x:f>IF(B542="","","CP-"&amp;TEXT(ROW()-2,"0000"))</x:f>
      </x:c>
      <x:c r="B542" s="22"/>
      <x:c r="C542" s="26"/>
      <x:c r="D542" s="22"/>
      <x:c r="E542" s="22"/>
      <x:c r="F542" s="22"/>
      <x:c r="G542" s="22"/>
      <x:c r="H542" s="26"/>
      <x:c r="I542" s="22"/>
      <x:c r="J542" s="22"/>
      <x:c r="K542" s="22"/>
      <x:c r="L542" s="22" t="str">
        <x:f>IF(OR(H542="",J542="Состоялась",J542="Отменена"),"",H542-TODAY())</x:f>
      </x:c>
    </x:row>
    <x:row r="543">
      <x:c r="A543" s="22" t="str">
        <x:f>IF(B543="","","CP-"&amp;TEXT(ROW()-2,"0000"))</x:f>
      </x:c>
      <x:c r="B543" s="22"/>
      <x:c r="C543" s="26"/>
      <x:c r="D543" s="22"/>
      <x:c r="E543" s="22"/>
      <x:c r="F543" s="22"/>
      <x:c r="G543" s="22"/>
      <x:c r="H543" s="26"/>
      <x:c r="I543" s="22"/>
      <x:c r="J543" s="22"/>
      <x:c r="K543" s="22"/>
      <x:c r="L543" s="22" t="str">
        <x:f>IF(OR(H543="",J543="Состоялась",J543="Отменена"),"",H543-TODAY())</x:f>
      </x:c>
    </x:row>
    <x:row r="544">
      <x:c r="A544" s="22" t="str">
        <x:f>IF(B544="","","CP-"&amp;TEXT(ROW()-2,"0000"))</x:f>
      </x:c>
      <x:c r="B544" s="22"/>
      <x:c r="C544" s="26"/>
      <x:c r="D544" s="22"/>
      <x:c r="E544" s="22"/>
      <x:c r="F544" s="22"/>
      <x:c r="G544" s="22"/>
      <x:c r="H544" s="26"/>
      <x:c r="I544" s="22"/>
      <x:c r="J544" s="22"/>
      <x:c r="K544" s="22"/>
      <x:c r="L544" s="22" t="str">
        <x:f>IF(OR(H544="",J544="Состоялась",J544="Отменена"),"",H544-TODAY())</x:f>
      </x:c>
    </x:row>
    <x:row r="545">
      <x:c r="A545" s="22" t="str">
        <x:f>IF(B545="","","CP-"&amp;TEXT(ROW()-2,"0000"))</x:f>
      </x:c>
      <x:c r="B545" s="22"/>
      <x:c r="C545" s="26"/>
      <x:c r="D545" s="22"/>
      <x:c r="E545" s="22"/>
      <x:c r="F545" s="22"/>
      <x:c r="G545" s="22"/>
      <x:c r="H545" s="26"/>
      <x:c r="I545" s="22"/>
      <x:c r="J545" s="22"/>
      <x:c r="K545" s="22"/>
      <x:c r="L545" s="22" t="str">
        <x:f>IF(OR(H545="",J545="Состоялась",J545="Отменена"),"",H545-TODAY())</x:f>
      </x:c>
    </x:row>
    <x:row r="546">
      <x:c r="A546" s="22" t="str">
        <x:f>IF(B546="","","CP-"&amp;TEXT(ROW()-2,"0000"))</x:f>
      </x:c>
      <x:c r="B546" s="22"/>
      <x:c r="C546" s="26"/>
      <x:c r="D546" s="22"/>
      <x:c r="E546" s="22"/>
      <x:c r="F546" s="22"/>
      <x:c r="G546" s="22"/>
      <x:c r="H546" s="26"/>
      <x:c r="I546" s="22"/>
      <x:c r="J546" s="22"/>
      <x:c r="K546" s="22"/>
      <x:c r="L546" s="22" t="str">
        <x:f>IF(OR(H546="",J546="Состоялась",J546="Отменена"),"",H546-TODAY())</x:f>
      </x:c>
    </x:row>
    <x:row r="547">
      <x:c r="A547" s="22" t="str">
        <x:f>IF(B547="","","CP-"&amp;TEXT(ROW()-2,"0000"))</x:f>
      </x:c>
      <x:c r="B547" s="22"/>
      <x:c r="C547" s="26"/>
      <x:c r="D547" s="22"/>
      <x:c r="E547" s="22"/>
      <x:c r="F547" s="22"/>
      <x:c r="G547" s="22"/>
      <x:c r="H547" s="26"/>
      <x:c r="I547" s="22"/>
      <x:c r="J547" s="22"/>
      <x:c r="K547" s="22"/>
      <x:c r="L547" s="22" t="str">
        <x:f>IF(OR(H547="",J547="Состоялась",J547="Отменена"),"",H547-TODAY())</x:f>
      </x:c>
    </x:row>
    <x:row r="548">
      <x:c r="A548" s="22" t="str">
        <x:f>IF(B548="","","CP-"&amp;TEXT(ROW()-2,"0000"))</x:f>
      </x:c>
      <x:c r="B548" s="22"/>
      <x:c r="C548" s="26"/>
      <x:c r="D548" s="22"/>
      <x:c r="E548" s="22"/>
      <x:c r="F548" s="22"/>
      <x:c r="G548" s="22"/>
      <x:c r="H548" s="26"/>
      <x:c r="I548" s="22"/>
      <x:c r="J548" s="22"/>
      <x:c r="K548" s="22"/>
      <x:c r="L548" s="22" t="str">
        <x:f>IF(OR(H548="",J548="Состоялась",J548="Отменена"),"",H548-TODAY())</x:f>
      </x:c>
    </x:row>
    <x:row r="549">
      <x:c r="A549" s="22" t="str">
        <x:f>IF(B549="","","CP-"&amp;TEXT(ROW()-2,"0000"))</x:f>
      </x:c>
      <x:c r="B549" s="22"/>
      <x:c r="C549" s="26"/>
      <x:c r="D549" s="22"/>
      <x:c r="E549" s="22"/>
      <x:c r="F549" s="22"/>
      <x:c r="G549" s="22"/>
      <x:c r="H549" s="26"/>
      <x:c r="I549" s="22"/>
      <x:c r="J549" s="22"/>
      <x:c r="K549" s="22"/>
      <x:c r="L549" s="22" t="str">
        <x:f>IF(OR(H549="",J549="Состоялась",J549="Отменена"),"",H549-TODAY())</x:f>
      </x:c>
    </x:row>
    <x:row r="550">
      <x:c r="A550" s="22" t="str">
        <x:f>IF(B550="","","CP-"&amp;TEXT(ROW()-2,"0000"))</x:f>
      </x:c>
      <x:c r="B550" s="22"/>
      <x:c r="C550" s="26"/>
      <x:c r="D550" s="22"/>
      <x:c r="E550" s="22"/>
      <x:c r="F550" s="22"/>
      <x:c r="G550" s="22"/>
      <x:c r="H550" s="26"/>
      <x:c r="I550" s="22"/>
      <x:c r="J550" s="22"/>
      <x:c r="K550" s="22"/>
      <x:c r="L550" s="22" t="str">
        <x:f>IF(OR(H550="",J550="Состоялась",J550="Отменена"),"",H550-TODAY())</x:f>
      </x:c>
    </x:row>
    <x:row r="551">
      <x:c r="A551" s="22" t="str">
        <x:f>IF(B551="","","CP-"&amp;TEXT(ROW()-2,"0000"))</x:f>
      </x:c>
      <x:c r="B551" s="22"/>
      <x:c r="C551" s="26"/>
      <x:c r="D551" s="22"/>
      <x:c r="E551" s="22"/>
      <x:c r="F551" s="22"/>
      <x:c r="G551" s="22"/>
      <x:c r="H551" s="26"/>
      <x:c r="I551" s="22"/>
      <x:c r="J551" s="22"/>
      <x:c r="K551" s="22"/>
      <x:c r="L551" s="22" t="str">
        <x:f>IF(OR(H551="",J551="Состоялась",J551="Отменена"),"",H551-TODAY())</x:f>
      </x:c>
    </x:row>
    <x:row r="552">
      <x:c r="A552" s="22" t="str">
        <x:f>IF(B552="","","CP-"&amp;TEXT(ROW()-2,"0000"))</x:f>
      </x:c>
      <x:c r="B552" s="22"/>
      <x:c r="C552" s="26"/>
      <x:c r="D552" s="22"/>
      <x:c r="E552" s="22"/>
      <x:c r="F552" s="22"/>
      <x:c r="G552" s="22"/>
      <x:c r="H552" s="26"/>
      <x:c r="I552" s="22"/>
      <x:c r="J552" s="22"/>
      <x:c r="K552" s="22"/>
      <x:c r="L552" s="22" t="str">
        <x:f>IF(OR(H552="",J552="Состоялась",J552="Отменена"),"",H552-TODAY())</x:f>
      </x:c>
    </x:row>
    <x:row r="553">
      <x:c r="A553" s="22" t="str">
        <x:f>IF(B553="","","CP-"&amp;TEXT(ROW()-2,"0000"))</x:f>
      </x:c>
      <x:c r="B553" s="22"/>
      <x:c r="C553" s="26"/>
      <x:c r="D553" s="22"/>
      <x:c r="E553" s="22"/>
      <x:c r="F553" s="22"/>
      <x:c r="G553" s="22"/>
      <x:c r="H553" s="26"/>
      <x:c r="I553" s="22"/>
      <x:c r="J553" s="22"/>
      <x:c r="K553" s="22"/>
      <x:c r="L553" s="22" t="str">
        <x:f>IF(OR(H553="",J553="Состоялась",J553="Отменена"),"",H553-TODAY())</x:f>
      </x:c>
    </x:row>
    <x:row r="554">
      <x:c r="A554" s="22" t="str">
        <x:f>IF(B554="","","CP-"&amp;TEXT(ROW()-2,"0000"))</x:f>
      </x:c>
      <x:c r="B554" s="22"/>
      <x:c r="C554" s="26"/>
      <x:c r="D554" s="22"/>
      <x:c r="E554" s="22"/>
      <x:c r="F554" s="22"/>
      <x:c r="G554" s="22"/>
      <x:c r="H554" s="26"/>
      <x:c r="I554" s="22"/>
      <x:c r="J554" s="22"/>
      <x:c r="K554" s="22"/>
      <x:c r="L554" s="22" t="str">
        <x:f>IF(OR(H554="",J554="Состоялась",J554="Отменена"),"",H554-TODAY())</x:f>
      </x:c>
    </x:row>
    <x:row r="555">
      <x:c r="A555" s="22" t="str">
        <x:f>IF(B555="","","CP-"&amp;TEXT(ROW()-2,"0000"))</x:f>
      </x:c>
      <x:c r="B555" s="22"/>
      <x:c r="C555" s="26"/>
      <x:c r="D555" s="22"/>
      <x:c r="E555" s="22"/>
      <x:c r="F555" s="22"/>
      <x:c r="G555" s="22"/>
      <x:c r="H555" s="26"/>
      <x:c r="I555" s="22"/>
      <x:c r="J555" s="22"/>
      <x:c r="K555" s="22"/>
      <x:c r="L555" s="22" t="str">
        <x:f>IF(OR(H555="",J555="Состоялась",J555="Отменена"),"",H555-TODAY())</x:f>
      </x:c>
    </x:row>
    <x:row r="556">
      <x:c r="A556" s="22" t="str">
        <x:f>IF(B556="","","CP-"&amp;TEXT(ROW()-2,"0000"))</x:f>
      </x:c>
      <x:c r="B556" s="22"/>
      <x:c r="C556" s="26"/>
      <x:c r="D556" s="22"/>
      <x:c r="E556" s="22"/>
      <x:c r="F556" s="22"/>
      <x:c r="G556" s="22"/>
      <x:c r="H556" s="26"/>
      <x:c r="I556" s="22"/>
      <x:c r="J556" s="22"/>
      <x:c r="K556" s="22"/>
      <x:c r="L556" s="22" t="str">
        <x:f>IF(OR(H556="",J556="Состоялась",J556="Отменена"),"",H556-TODAY())</x:f>
      </x:c>
    </x:row>
    <x:row r="557">
      <x:c r="A557" s="22" t="str">
        <x:f>IF(B557="","","CP-"&amp;TEXT(ROW()-2,"0000"))</x:f>
      </x:c>
      <x:c r="B557" s="22"/>
      <x:c r="C557" s="26"/>
      <x:c r="D557" s="22"/>
      <x:c r="E557" s="22"/>
      <x:c r="F557" s="22"/>
      <x:c r="G557" s="22"/>
      <x:c r="H557" s="26"/>
      <x:c r="I557" s="22"/>
      <x:c r="J557" s="22"/>
      <x:c r="K557" s="22"/>
      <x:c r="L557" s="22" t="str">
        <x:f>IF(OR(H557="",J557="Состоялась",J557="Отменена"),"",H557-TODAY())</x:f>
      </x:c>
    </x:row>
    <x:row r="558">
      <x:c r="A558" s="22" t="str">
        <x:f>IF(B558="","","CP-"&amp;TEXT(ROW()-2,"0000"))</x:f>
      </x:c>
      <x:c r="B558" s="22"/>
      <x:c r="C558" s="26"/>
      <x:c r="D558" s="22"/>
      <x:c r="E558" s="22"/>
      <x:c r="F558" s="22"/>
      <x:c r="G558" s="22"/>
      <x:c r="H558" s="26"/>
      <x:c r="I558" s="22"/>
      <x:c r="J558" s="22"/>
      <x:c r="K558" s="22"/>
      <x:c r="L558" s="22" t="str">
        <x:f>IF(OR(H558="",J558="Состоялась",J558="Отменена"),"",H558-TODAY())</x:f>
      </x:c>
    </x:row>
    <x:row r="559">
      <x:c r="A559" s="22" t="str">
        <x:f>IF(B559="","","CP-"&amp;TEXT(ROW()-2,"0000"))</x:f>
      </x:c>
      <x:c r="B559" s="22"/>
      <x:c r="C559" s="26"/>
      <x:c r="D559" s="22"/>
      <x:c r="E559" s="22"/>
      <x:c r="F559" s="22"/>
      <x:c r="G559" s="22"/>
      <x:c r="H559" s="26"/>
      <x:c r="I559" s="22"/>
      <x:c r="J559" s="22"/>
      <x:c r="K559" s="22"/>
      <x:c r="L559" s="22" t="str">
        <x:f>IF(OR(H559="",J559="Состоялась",J559="Отменена"),"",H559-TODAY())</x:f>
      </x:c>
    </x:row>
    <x:row r="560">
      <x:c r="A560" s="22" t="str">
        <x:f>IF(B560="","","CP-"&amp;TEXT(ROW()-2,"0000"))</x:f>
      </x:c>
      <x:c r="B560" s="22"/>
      <x:c r="C560" s="26"/>
      <x:c r="D560" s="22"/>
      <x:c r="E560" s="22"/>
      <x:c r="F560" s="22"/>
      <x:c r="G560" s="22"/>
      <x:c r="H560" s="26"/>
      <x:c r="I560" s="22"/>
      <x:c r="J560" s="22"/>
      <x:c r="K560" s="22"/>
      <x:c r="L560" s="22" t="str">
        <x:f>IF(OR(H560="",J560="Состоялась",J560="Отменена"),"",H560-TODAY())</x:f>
      </x:c>
    </x:row>
    <x:row r="561">
      <x:c r="A561" s="22" t="str">
        <x:f>IF(B561="","","CP-"&amp;TEXT(ROW()-2,"0000"))</x:f>
      </x:c>
      <x:c r="B561" s="22"/>
      <x:c r="C561" s="26"/>
      <x:c r="D561" s="22"/>
      <x:c r="E561" s="22"/>
      <x:c r="F561" s="22"/>
      <x:c r="G561" s="22"/>
      <x:c r="H561" s="26"/>
      <x:c r="I561" s="22"/>
      <x:c r="J561" s="22"/>
      <x:c r="K561" s="22"/>
      <x:c r="L561" s="22" t="str">
        <x:f>IF(OR(H561="",J561="Состоялась",J561="Отменена"),"",H561-TODAY())</x:f>
      </x:c>
    </x:row>
    <x:row r="562">
      <x:c r="A562" s="22" t="str">
        <x:f>IF(B562="","","CP-"&amp;TEXT(ROW()-2,"0000"))</x:f>
      </x:c>
      <x:c r="B562" s="22"/>
      <x:c r="C562" s="26"/>
      <x:c r="D562" s="22"/>
      <x:c r="E562" s="22"/>
      <x:c r="F562" s="22"/>
      <x:c r="G562" s="22"/>
      <x:c r="H562" s="26"/>
      <x:c r="I562" s="22"/>
      <x:c r="J562" s="22"/>
      <x:c r="K562" s="22"/>
      <x:c r="L562" s="22" t="str">
        <x:f>IF(OR(H562="",J562="Состоялась",J562="Отменена"),"",H562-TODAY())</x:f>
      </x:c>
    </x:row>
    <x:row r="563">
      <x:c r="A563" s="22" t="str">
        <x:f>IF(B563="","","CP-"&amp;TEXT(ROW()-2,"0000"))</x:f>
      </x:c>
      <x:c r="B563" s="22"/>
      <x:c r="C563" s="26"/>
      <x:c r="D563" s="22"/>
      <x:c r="E563" s="22"/>
      <x:c r="F563" s="22"/>
      <x:c r="G563" s="22"/>
      <x:c r="H563" s="26"/>
      <x:c r="I563" s="22"/>
      <x:c r="J563" s="22"/>
      <x:c r="K563" s="22"/>
      <x:c r="L563" s="22" t="str">
        <x:f>IF(OR(H563="",J563="Состоялась",J563="Отменена"),"",H563-TODAY())</x:f>
      </x:c>
    </x:row>
    <x:row r="564">
      <x:c r="A564" s="22" t="str">
        <x:f>IF(B564="","","CP-"&amp;TEXT(ROW()-2,"0000"))</x:f>
      </x:c>
      <x:c r="B564" s="22"/>
      <x:c r="C564" s="26"/>
      <x:c r="D564" s="22"/>
      <x:c r="E564" s="22"/>
      <x:c r="F564" s="22"/>
      <x:c r="G564" s="22"/>
      <x:c r="H564" s="26"/>
      <x:c r="I564" s="22"/>
      <x:c r="J564" s="22"/>
      <x:c r="K564" s="22"/>
      <x:c r="L564" s="22" t="str">
        <x:f>IF(OR(H564="",J564="Состоялась",J564="Отменена"),"",H564-TODAY())</x:f>
      </x:c>
    </x:row>
    <x:row r="565">
      <x:c r="A565" s="22" t="str">
        <x:f>IF(B565="","","CP-"&amp;TEXT(ROW()-2,"0000"))</x:f>
      </x:c>
      <x:c r="B565" s="22"/>
      <x:c r="C565" s="26"/>
      <x:c r="D565" s="22"/>
      <x:c r="E565" s="22"/>
      <x:c r="F565" s="22"/>
      <x:c r="G565" s="22"/>
      <x:c r="H565" s="26"/>
      <x:c r="I565" s="22"/>
      <x:c r="J565" s="22"/>
      <x:c r="K565" s="22"/>
      <x:c r="L565" s="22" t="str">
        <x:f>IF(OR(H565="",J565="Состоялась",J565="Отменена"),"",H565-TODAY())</x:f>
      </x:c>
    </x:row>
    <x:row r="566">
      <x:c r="A566" s="22" t="str">
        <x:f>IF(B566="","","CP-"&amp;TEXT(ROW()-2,"0000"))</x:f>
      </x:c>
      <x:c r="B566" s="22"/>
      <x:c r="C566" s="26"/>
      <x:c r="D566" s="22"/>
      <x:c r="E566" s="22"/>
      <x:c r="F566" s="22"/>
      <x:c r="G566" s="22"/>
      <x:c r="H566" s="26"/>
      <x:c r="I566" s="22"/>
      <x:c r="J566" s="22"/>
      <x:c r="K566" s="22"/>
      <x:c r="L566" s="22" t="str">
        <x:f>IF(OR(H566="",J566="Состоялась",J566="Отменена"),"",H566-TODAY())</x:f>
      </x:c>
    </x:row>
    <x:row r="567">
      <x:c r="A567" s="22" t="str">
        <x:f>IF(B567="","","CP-"&amp;TEXT(ROW()-2,"0000"))</x:f>
      </x:c>
      <x:c r="B567" s="22"/>
      <x:c r="C567" s="26"/>
      <x:c r="D567" s="22"/>
      <x:c r="E567" s="22"/>
      <x:c r="F567" s="22"/>
      <x:c r="G567" s="22"/>
      <x:c r="H567" s="26"/>
      <x:c r="I567" s="22"/>
      <x:c r="J567" s="22"/>
      <x:c r="K567" s="22"/>
      <x:c r="L567" s="22" t="str">
        <x:f>IF(OR(H567="",J567="Состоялась",J567="Отменена"),"",H567-TODAY())</x:f>
      </x:c>
    </x:row>
    <x:row r="568">
      <x:c r="A568" s="22" t="str">
        <x:f>IF(B568="","","CP-"&amp;TEXT(ROW()-2,"0000"))</x:f>
      </x:c>
      <x:c r="B568" s="22"/>
      <x:c r="C568" s="26"/>
      <x:c r="D568" s="22"/>
      <x:c r="E568" s="22"/>
      <x:c r="F568" s="22"/>
      <x:c r="G568" s="22"/>
      <x:c r="H568" s="26"/>
      <x:c r="I568" s="22"/>
      <x:c r="J568" s="22"/>
      <x:c r="K568" s="22"/>
      <x:c r="L568" s="22" t="str">
        <x:f>IF(OR(H568="",J568="Состоялась",J568="Отменена"),"",H568-TODAY())</x:f>
      </x:c>
    </x:row>
    <x:row r="569">
      <x:c r="A569" s="22" t="str">
        <x:f>IF(B569="","","CP-"&amp;TEXT(ROW()-2,"0000"))</x:f>
      </x:c>
      <x:c r="B569" s="22"/>
      <x:c r="C569" s="26"/>
      <x:c r="D569" s="22"/>
      <x:c r="E569" s="22"/>
      <x:c r="F569" s="22"/>
      <x:c r="G569" s="22"/>
      <x:c r="H569" s="26"/>
      <x:c r="I569" s="22"/>
      <x:c r="J569" s="22"/>
      <x:c r="K569" s="22"/>
      <x:c r="L569" s="22" t="str">
        <x:f>IF(OR(H569="",J569="Состоялась",J569="Отменена"),"",H569-TODAY())</x:f>
      </x:c>
    </x:row>
    <x:row r="570">
      <x:c r="A570" s="22" t="str">
        <x:f>IF(B570="","","CP-"&amp;TEXT(ROW()-2,"0000"))</x:f>
      </x:c>
      <x:c r="B570" s="22"/>
      <x:c r="C570" s="26"/>
      <x:c r="D570" s="22"/>
      <x:c r="E570" s="22"/>
      <x:c r="F570" s="22"/>
      <x:c r="G570" s="22"/>
      <x:c r="H570" s="26"/>
      <x:c r="I570" s="22"/>
      <x:c r="J570" s="22"/>
      <x:c r="K570" s="22"/>
      <x:c r="L570" s="22" t="str">
        <x:f>IF(OR(H570="",J570="Состоялась",J570="Отменена"),"",H570-TODAY())</x:f>
      </x:c>
    </x:row>
    <x:row r="571">
      <x:c r="A571" s="22" t="str">
        <x:f>IF(B571="","","CP-"&amp;TEXT(ROW()-2,"0000"))</x:f>
      </x:c>
      <x:c r="B571" s="22"/>
      <x:c r="C571" s="26"/>
      <x:c r="D571" s="22"/>
      <x:c r="E571" s="22"/>
      <x:c r="F571" s="22"/>
      <x:c r="G571" s="22"/>
      <x:c r="H571" s="26"/>
      <x:c r="I571" s="22"/>
      <x:c r="J571" s="22"/>
      <x:c r="K571" s="22"/>
      <x:c r="L571" s="22" t="str">
        <x:f>IF(OR(H571="",J571="Состоялась",J571="Отменена"),"",H571-TODAY())</x:f>
      </x:c>
    </x:row>
    <x:row r="572">
      <x:c r="A572" s="22" t="str">
        <x:f>IF(B572="","","CP-"&amp;TEXT(ROW()-2,"0000"))</x:f>
      </x:c>
      <x:c r="B572" s="22"/>
      <x:c r="C572" s="26"/>
      <x:c r="D572" s="22"/>
      <x:c r="E572" s="22"/>
      <x:c r="F572" s="22"/>
      <x:c r="G572" s="22"/>
      <x:c r="H572" s="26"/>
      <x:c r="I572" s="22"/>
      <x:c r="J572" s="22"/>
      <x:c r="K572" s="22"/>
      <x:c r="L572" s="22" t="str">
        <x:f>IF(OR(H572="",J572="Состоялась",J572="Отменена"),"",H572-TODAY())</x:f>
      </x:c>
    </x:row>
    <x:row r="573">
      <x:c r="A573" s="22" t="str">
        <x:f>IF(B573="","","CP-"&amp;TEXT(ROW()-2,"0000"))</x:f>
      </x:c>
      <x:c r="B573" s="22"/>
      <x:c r="C573" s="26"/>
      <x:c r="D573" s="22"/>
      <x:c r="E573" s="22"/>
      <x:c r="F573" s="22"/>
      <x:c r="G573" s="22"/>
      <x:c r="H573" s="26"/>
      <x:c r="I573" s="22"/>
      <x:c r="J573" s="22"/>
      <x:c r="K573" s="22"/>
      <x:c r="L573" s="22" t="str">
        <x:f>IF(OR(H573="",J573="Состоялась",J573="Отменена"),"",H573-TODAY())</x:f>
      </x:c>
    </x:row>
    <x:row r="574">
      <x:c r="A574" s="22" t="str">
        <x:f>IF(B574="","","CP-"&amp;TEXT(ROW()-2,"0000"))</x:f>
      </x:c>
      <x:c r="B574" s="22"/>
      <x:c r="C574" s="26"/>
      <x:c r="D574" s="22"/>
      <x:c r="E574" s="22"/>
      <x:c r="F574" s="22"/>
      <x:c r="G574" s="22"/>
      <x:c r="H574" s="26"/>
      <x:c r="I574" s="22"/>
      <x:c r="J574" s="22"/>
      <x:c r="K574" s="22"/>
      <x:c r="L574" s="22" t="str">
        <x:f>IF(OR(H574="",J574="Состоялась",J574="Отменена"),"",H574-TODAY())</x:f>
      </x:c>
    </x:row>
    <x:row r="575">
      <x:c r="A575" s="22" t="str">
        <x:f>IF(B575="","","CP-"&amp;TEXT(ROW()-2,"0000"))</x:f>
      </x:c>
      <x:c r="B575" s="22"/>
      <x:c r="C575" s="26"/>
      <x:c r="D575" s="22"/>
      <x:c r="E575" s="22"/>
      <x:c r="F575" s="22"/>
      <x:c r="G575" s="22"/>
      <x:c r="H575" s="26"/>
      <x:c r="I575" s="22"/>
      <x:c r="J575" s="22"/>
      <x:c r="K575" s="22"/>
      <x:c r="L575" s="22" t="str">
        <x:f>IF(OR(H575="",J575="Состоялась",J575="Отменена"),"",H575-TODAY())</x:f>
      </x:c>
    </x:row>
    <x:row r="576">
      <x:c r="A576" s="22" t="str">
        <x:f>IF(B576="","","CP-"&amp;TEXT(ROW()-2,"0000"))</x:f>
      </x:c>
      <x:c r="B576" s="22"/>
      <x:c r="C576" s="26"/>
      <x:c r="D576" s="22"/>
      <x:c r="E576" s="22"/>
      <x:c r="F576" s="22"/>
      <x:c r="G576" s="22"/>
      <x:c r="H576" s="26"/>
      <x:c r="I576" s="22"/>
      <x:c r="J576" s="22"/>
      <x:c r="K576" s="22"/>
      <x:c r="L576" s="22" t="str">
        <x:f>IF(OR(H576="",J576="Состоялась",J576="Отменена"),"",H576-TODAY())</x:f>
      </x:c>
    </x:row>
    <x:row r="577">
      <x:c r="A577" s="22" t="str">
        <x:f>IF(B577="","","CP-"&amp;TEXT(ROW()-2,"0000"))</x:f>
      </x:c>
      <x:c r="B577" s="22"/>
      <x:c r="C577" s="26"/>
      <x:c r="D577" s="22"/>
      <x:c r="E577" s="22"/>
      <x:c r="F577" s="22"/>
      <x:c r="G577" s="22"/>
      <x:c r="H577" s="26"/>
      <x:c r="I577" s="22"/>
      <x:c r="J577" s="22"/>
      <x:c r="K577" s="22"/>
      <x:c r="L577" s="22" t="str">
        <x:f>IF(OR(H577="",J577="Состоялась",J577="Отменена"),"",H577-TODAY())</x:f>
      </x:c>
    </x:row>
    <x:row r="578">
      <x:c r="A578" s="22" t="str">
        <x:f>IF(B578="","","CP-"&amp;TEXT(ROW()-2,"0000"))</x:f>
      </x:c>
      <x:c r="B578" s="22"/>
      <x:c r="C578" s="26"/>
      <x:c r="D578" s="22"/>
      <x:c r="E578" s="22"/>
      <x:c r="F578" s="22"/>
      <x:c r="G578" s="22"/>
      <x:c r="H578" s="26"/>
      <x:c r="I578" s="22"/>
      <x:c r="J578" s="22"/>
      <x:c r="K578" s="22"/>
      <x:c r="L578" s="22" t="str">
        <x:f>IF(OR(H578="",J578="Состоялась",J578="Отменена"),"",H578-TODAY())</x:f>
      </x:c>
    </x:row>
    <x:row r="579">
      <x:c r="A579" s="22" t="str">
        <x:f>IF(B579="","","CP-"&amp;TEXT(ROW()-2,"0000"))</x:f>
      </x:c>
      <x:c r="B579" s="22"/>
      <x:c r="C579" s="26"/>
      <x:c r="D579" s="22"/>
      <x:c r="E579" s="22"/>
      <x:c r="F579" s="22"/>
      <x:c r="G579" s="22"/>
      <x:c r="H579" s="26"/>
      <x:c r="I579" s="22"/>
      <x:c r="J579" s="22"/>
      <x:c r="K579" s="22"/>
      <x:c r="L579" s="22" t="str">
        <x:f>IF(OR(H579="",J579="Состоялась",J579="Отменена"),"",H579-TODAY())</x:f>
      </x:c>
    </x:row>
    <x:row r="580">
      <x:c r="A580" s="22" t="str">
        <x:f>IF(B580="","","CP-"&amp;TEXT(ROW()-2,"0000"))</x:f>
      </x:c>
      <x:c r="B580" s="22"/>
      <x:c r="C580" s="26"/>
      <x:c r="D580" s="22"/>
      <x:c r="E580" s="22"/>
      <x:c r="F580" s="22"/>
      <x:c r="G580" s="22"/>
      <x:c r="H580" s="26"/>
      <x:c r="I580" s="22"/>
      <x:c r="J580" s="22"/>
      <x:c r="K580" s="22"/>
      <x:c r="L580" s="22" t="str">
        <x:f>IF(OR(H580="",J580="Состоялась",J580="Отменена"),"",H580-TODAY())</x:f>
      </x:c>
    </x:row>
    <x:row r="581">
      <x:c r="A581" s="22" t="str">
        <x:f>IF(B581="","","CP-"&amp;TEXT(ROW()-2,"0000"))</x:f>
      </x:c>
      <x:c r="B581" s="22"/>
      <x:c r="C581" s="26"/>
      <x:c r="D581" s="22"/>
      <x:c r="E581" s="22"/>
      <x:c r="F581" s="22"/>
      <x:c r="G581" s="22"/>
      <x:c r="H581" s="26"/>
      <x:c r="I581" s="22"/>
      <x:c r="J581" s="22"/>
      <x:c r="K581" s="22"/>
      <x:c r="L581" s="22" t="str">
        <x:f>IF(OR(H581="",J581="Состоялась",J581="Отменена"),"",H581-TODAY())</x:f>
      </x:c>
    </x:row>
    <x:row r="582">
      <x:c r="A582" s="22" t="str">
        <x:f>IF(B582="","","CP-"&amp;TEXT(ROW()-2,"0000"))</x:f>
      </x:c>
      <x:c r="B582" s="22"/>
      <x:c r="C582" s="26"/>
      <x:c r="D582" s="22"/>
      <x:c r="E582" s="22"/>
      <x:c r="F582" s="22"/>
      <x:c r="G582" s="22"/>
      <x:c r="H582" s="26"/>
      <x:c r="I582" s="22"/>
      <x:c r="J582" s="22"/>
      <x:c r="K582" s="22"/>
      <x:c r="L582" s="22" t="str">
        <x:f>IF(OR(H582="",J582="Состоялась",J582="Отменена"),"",H582-TODAY())</x:f>
      </x:c>
    </x:row>
    <x:row r="583">
      <x:c r="A583" s="22" t="str">
        <x:f>IF(B583="","","CP-"&amp;TEXT(ROW()-2,"0000"))</x:f>
      </x:c>
      <x:c r="B583" s="22"/>
      <x:c r="C583" s="26"/>
      <x:c r="D583" s="22"/>
      <x:c r="E583" s="22"/>
      <x:c r="F583" s="22"/>
      <x:c r="G583" s="22"/>
      <x:c r="H583" s="26"/>
      <x:c r="I583" s="22"/>
      <x:c r="J583" s="22"/>
      <x:c r="K583" s="22"/>
      <x:c r="L583" s="22" t="str">
        <x:f>IF(OR(H583="",J583="Состоялась",J583="Отменена"),"",H583-TODAY())</x:f>
      </x:c>
    </x:row>
    <x:row r="584">
      <x:c r="A584" s="22" t="str">
        <x:f>IF(B584="","","CP-"&amp;TEXT(ROW()-2,"0000"))</x:f>
      </x:c>
      <x:c r="B584" s="22"/>
      <x:c r="C584" s="26"/>
      <x:c r="D584" s="22"/>
      <x:c r="E584" s="22"/>
      <x:c r="F584" s="22"/>
      <x:c r="G584" s="22"/>
      <x:c r="H584" s="26"/>
      <x:c r="I584" s="22"/>
      <x:c r="J584" s="22"/>
      <x:c r="K584" s="22"/>
      <x:c r="L584" s="22" t="str">
        <x:f>IF(OR(H584="",J584="Состоялась",J584="Отменена"),"",H584-TODAY())</x:f>
      </x:c>
    </x:row>
    <x:row r="585">
      <x:c r="A585" s="22" t="str">
        <x:f>IF(B585="","","CP-"&amp;TEXT(ROW()-2,"0000"))</x:f>
      </x:c>
      <x:c r="B585" s="22"/>
      <x:c r="C585" s="26"/>
      <x:c r="D585" s="22"/>
      <x:c r="E585" s="22"/>
      <x:c r="F585" s="22"/>
      <x:c r="G585" s="22"/>
      <x:c r="H585" s="26"/>
      <x:c r="I585" s="22"/>
      <x:c r="J585" s="22"/>
      <x:c r="K585" s="22"/>
      <x:c r="L585" s="22" t="str">
        <x:f>IF(OR(H585="",J585="Состоялась",J585="Отменена"),"",H585-TODAY())</x:f>
      </x:c>
    </x:row>
    <x:row r="586">
      <x:c r="A586" s="22" t="str">
        <x:f>IF(B586="","","CP-"&amp;TEXT(ROW()-2,"0000"))</x:f>
      </x:c>
      <x:c r="B586" s="22"/>
      <x:c r="C586" s="26"/>
      <x:c r="D586" s="22"/>
      <x:c r="E586" s="22"/>
      <x:c r="F586" s="22"/>
      <x:c r="G586" s="22"/>
      <x:c r="H586" s="26"/>
      <x:c r="I586" s="22"/>
      <x:c r="J586" s="22"/>
      <x:c r="K586" s="22"/>
      <x:c r="L586" s="22" t="str">
        <x:f>IF(OR(H586="",J586="Состоялась",J586="Отменена"),"",H586-TODAY())</x:f>
      </x:c>
    </x:row>
    <x:row r="587">
      <x:c r="A587" s="22" t="str">
        <x:f>IF(B587="","","CP-"&amp;TEXT(ROW()-2,"0000"))</x:f>
      </x:c>
      <x:c r="B587" s="22"/>
      <x:c r="C587" s="26"/>
      <x:c r="D587" s="22"/>
      <x:c r="E587" s="22"/>
      <x:c r="F587" s="22"/>
      <x:c r="G587" s="22"/>
      <x:c r="H587" s="26"/>
      <x:c r="I587" s="22"/>
      <x:c r="J587" s="22"/>
      <x:c r="K587" s="22"/>
      <x:c r="L587" s="22" t="str">
        <x:f>IF(OR(H587="",J587="Состоялась",J587="Отменена"),"",H587-TODAY())</x:f>
      </x:c>
    </x:row>
    <x:row r="588">
      <x:c r="A588" s="22" t="str">
        <x:f>IF(B588="","","CP-"&amp;TEXT(ROW()-2,"0000"))</x:f>
      </x:c>
      <x:c r="B588" s="22"/>
      <x:c r="C588" s="26"/>
      <x:c r="D588" s="22"/>
      <x:c r="E588" s="22"/>
      <x:c r="F588" s="22"/>
      <x:c r="G588" s="22"/>
      <x:c r="H588" s="26"/>
      <x:c r="I588" s="22"/>
      <x:c r="J588" s="22"/>
      <x:c r="K588" s="22"/>
      <x:c r="L588" s="22" t="str">
        <x:f>IF(OR(H588="",J588="Состоялась",J588="Отменена"),"",H588-TODAY())</x:f>
      </x:c>
    </x:row>
    <x:row r="589">
      <x:c r="A589" s="22" t="str">
        <x:f>IF(B589="","","CP-"&amp;TEXT(ROW()-2,"0000"))</x:f>
      </x:c>
      <x:c r="B589" s="22"/>
      <x:c r="C589" s="26"/>
      <x:c r="D589" s="22"/>
      <x:c r="E589" s="22"/>
      <x:c r="F589" s="22"/>
      <x:c r="G589" s="22"/>
      <x:c r="H589" s="26"/>
      <x:c r="I589" s="22"/>
      <x:c r="J589" s="22"/>
      <x:c r="K589" s="22"/>
      <x:c r="L589" s="22" t="str">
        <x:f>IF(OR(H589="",J589="Состоялась",J589="Отменена"),"",H589-TODAY())</x:f>
      </x:c>
    </x:row>
    <x:row r="590">
      <x:c r="A590" s="22" t="str">
        <x:f>IF(B590="","","CP-"&amp;TEXT(ROW()-2,"0000"))</x:f>
      </x:c>
      <x:c r="B590" s="22"/>
      <x:c r="C590" s="26"/>
      <x:c r="D590" s="22"/>
      <x:c r="E590" s="22"/>
      <x:c r="F590" s="22"/>
      <x:c r="G590" s="22"/>
      <x:c r="H590" s="26"/>
      <x:c r="I590" s="22"/>
      <x:c r="J590" s="22"/>
      <x:c r="K590" s="22"/>
      <x:c r="L590" s="22" t="str">
        <x:f>IF(OR(H590="",J590="Состоялась",J590="Отменена"),"",H590-TODAY())</x:f>
      </x:c>
    </x:row>
    <x:row r="591">
      <x:c r="A591" s="22" t="str">
        <x:f>IF(B591="","","CP-"&amp;TEXT(ROW()-2,"0000"))</x:f>
      </x:c>
      <x:c r="B591" s="22"/>
      <x:c r="C591" s="26"/>
      <x:c r="D591" s="22"/>
      <x:c r="E591" s="22"/>
      <x:c r="F591" s="22"/>
      <x:c r="G591" s="22"/>
      <x:c r="H591" s="26"/>
      <x:c r="I591" s="22"/>
      <x:c r="J591" s="22"/>
      <x:c r="K591" s="22"/>
      <x:c r="L591" s="22" t="str">
        <x:f>IF(OR(H591="",J591="Состоялась",J591="Отменена"),"",H591-TODAY())</x:f>
      </x:c>
    </x:row>
    <x:row r="592">
      <x:c r="A592" s="22" t="str">
        <x:f>IF(B592="","","CP-"&amp;TEXT(ROW()-2,"0000"))</x:f>
      </x:c>
      <x:c r="B592" s="22"/>
      <x:c r="C592" s="26"/>
      <x:c r="D592" s="22"/>
      <x:c r="E592" s="22"/>
      <x:c r="F592" s="22"/>
      <x:c r="G592" s="22"/>
      <x:c r="H592" s="26"/>
      <x:c r="I592" s="22"/>
      <x:c r="J592" s="22"/>
      <x:c r="K592" s="22"/>
      <x:c r="L592" s="22" t="str">
        <x:f>IF(OR(H592="",J592="Состоялась",J592="Отменена"),"",H592-TODAY())</x:f>
      </x:c>
    </x:row>
    <x:row r="593">
      <x:c r="A593" s="22" t="str">
        <x:f>IF(B593="","","CP-"&amp;TEXT(ROW()-2,"0000"))</x:f>
      </x:c>
      <x:c r="B593" s="22"/>
      <x:c r="C593" s="26"/>
      <x:c r="D593" s="22"/>
      <x:c r="E593" s="22"/>
      <x:c r="F593" s="22"/>
      <x:c r="G593" s="22"/>
      <x:c r="H593" s="26"/>
      <x:c r="I593" s="22"/>
      <x:c r="J593" s="22"/>
      <x:c r="K593" s="22"/>
      <x:c r="L593" s="22" t="str">
        <x:f>IF(OR(H593="",J593="Состоялась",J593="Отменена"),"",H593-TODAY())</x:f>
      </x:c>
    </x:row>
    <x:row r="594">
      <x:c r="A594" s="22" t="str">
        <x:f>IF(B594="","","CP-"&amp;TEXT(ROW()-2,"0000"))</x:f>
      </x:c>
      <x:c r="B594" s="22"/>
      <x:c r="C594" s="26"/>
      <x:c r="D594" s="22"/>
      <x:c r="E594" s="22"/>
      <x:c r="F594" s="22"/>
      <x:c r="G594" s="22"/>
      <x:c r="H594" s="26"/>
      <x:c r="I594" s="22"/>
      <x:c r="J594" s="22"/>
      <x:c r="K594" s="22"/>
      <x:c r="L594" s="22" t="str">
        <x:f>IF(OR(H594="",J594="Состоялась",J594="Отменена"),"",H594-TODAY())</x:f>
      </x:c>
    </x:row>
    <x:row r="595">
      <x:c r="A595" s="22" t="str">
        <x:f>IF(B595="","","CP-"&amp;TEXT(ROW()-2,"0000"))</x:f>
      </x:c>
      <x:c r="B595" s="22"/>
      <x:c r="C595" s="26"/>
      <x:c r="D595" s="22"/>
      <x:c r="E595" s="22"/>
      <x:c r="F595" s="22"/>
      <x:c r="G595" s="22"/>
      <x:c r="H595" s="26"/>
      <x:c r="I595" s="22"/>
      <x:c r="J595" s="22"/>
      <x:c r="K595" s="22"/>
      <x:c r="L595" s="22" t="str">
        <x:f>IF(OR(H595="",J595="Состоялась",J595="Отменена"),"",H595-TODAY())</x:f>
      </x:c>
    </x:row>
    <x:row r="596">
      <x:c r="A596" s="22" t="str">
        <x:f>IF(B596="","","CP-"&amp;TEXT(ROW()-2,"0000"))</x:f>
      </x:c>
      <x:c r="B596" s="22"/>
      <x:c r="C596" s="26"/>
      <x:c r="D596" s="22"/>
      <x:c r="E596" s="22"/>
      <x:c r="F596" s="22"/>
      <x:c r="G596" s="22"/>
      <x:c r="H596" s="26"/>
      <x:c r="I596" s="22"/>
      <x:c r="J596" s="22"/>
      <x:c r="K596" s="22"/>
      <x:c r="L596" s="22" t="str">
        <x:f>IF(OR(H596="",J596="Состоялась",J596="Отменена"),"",H596-TODAY())</x:f>
      </x:c>
    </x:row>
    <x:row r="597">
      <x:c r="A597" s="22" t="str">
        <x:f>IF(B597="","","CP-"&amp;TEXT(ROW()-2,"0000"))</x:f>
      </x:c>
      <x:c r="B597" s="22"/>
      <x:c r="C597" s="26"/>
      <x:c r="D597" s="22"/>
      <x:c r="E597" s="22"/>
      <x:c r="F597" s="22"/>
      <x:c r="G597" s="22"/>
      <x:c r="H597" s="26"/>
      <x:c r="I597" s="22"/>
      <x:c r="J597" s="22"/>
      <x:c r="K597" s="22"/>
      <x:c r="L597" s="22" t="str">
        <x:f>IF(OR(H597="",J597="Состоялась",J597="Отменена"),"",H597-TODAY())</x:f>
      </x:c>
    </x:row>
    <x:row r="598">
      <x:c r="A598" s="22" t="str">
        <x:f>IF(B598="","","CP-"&amp;TEXT(ROW()-2,"0000"))</x:f>
      </x:c>
      <x:c r="B598" s="22"/>
      <x:c r="C598" s="26"/>
      <x:c r="D598" s="22"/>
      <x:c r="E598" s="22"/>
      <x:c r="F598" s="22"/>
      <x:c r="G598" s="22"/>
      <x:c r="H598" s="26"/>
      <x:c r="I598" s="22"/>
      <x:c r="J598" s="22"/>
      <x:c r="K598" s="22"/>
      <x:c r="L598" s="22" t="str">
        <x:f>IF(OR(H598="",J598="Состоялась",J598="Отменена"),"",H598-TODAY())</x:f>
      </x:c>
    </x:row>
    <x:row r="599">
      <x:c r="A599" s="22" t="str">
        <x:f>IF(B599="","","CP-"&amp;TEXT(ROW()-2,"0000"))</x:f>
      </x:c>
      <x:c r="B599" s="22"/>
      <x:c r="C599" s="26"/>
      <x:c r="D599" s="22"/>
      <x:c r="E599" s="22"/>
      <x:c r="F599" s="22"/>
      <x:c r="G599" s="22"/>
      <x:c r="H599" s="26"/>
      <x:c r="I599" s="22"/>
      <x:c r="J599" s="22"/>
      <x:c r="K599" s="22"/>
      <x:c r="L599" s="22" t="str">
        <x:f>IF(OR(H599="",J599="Состоялась",J599="Отменена"),"",H599-TODAY())</x:f>
      </x:c>
    </x:row>
    <x:row r="600">
      <x:c r="A600" s="22" t="str">
        <x:f>IF(B600="","","CP-"&amp;TEXT(ROW()-2,"0000"))</x:f>
      </x:c>
      <x:c r="B600" s="22"/>
      <x:c r="C600" s="26"/>
      <x:c r="D600" s="22"/>
      <x:c r="E600" s="22"/>
      <x:c r="F600" s="22"/>
      <x:c r="G600" s="22"/>
      <x:c r="H600" s="26"/>
      <x:c r="I600" s="22"/>
      <x:c r="J600" s="22"/>
      <x:c r="K600" s="22"/>
      <x:c r="L600" s="22" t="str">
        <x:f>IF(OR(H600="",J600="Состоялась",J600="Отменена"),"",H600-TODAY())</x:f>
      </x:c>
    </x:row>
    <x:row r="601">
      <x:c r="A601" s="22" t="str">
        <x:f>IF(B601="","","CP-"&amp;TEXT(ROW()-2,"0000"))</x:f>
      </x:c>
      <x:c r="B601" s="22"/>
      <x:c r="C601" s="26"/>
      <x:c r="D601" s="22"/>
      <x:c r="E601" s="22"/>
      <x:c r="F601" s="22"/>
      <x:c r="G601" s="22"/>
      <x:c r="H601" s="26"/>
      <x:c r="I601" s="22"/>
      <x:c r="J601" s="22"/>
      <x:c r="K601" s="22"/>
      <x:c r="L601" s="22" t="str">
        <x:f>IF(OR(H601="",J601="Состоялась",J601="Отменена"),"",H601-TODAY())</x:f>
      </x:c>
    </x:row>
    <x:row r="602">
      <x:c r="A602" s="22" t="str">
        <x:f>IF(B602="","","CP-"&amp;TEXT(ROW()-2,"0000"))</x:f>
      </x:c>
      <x:c r="B602" s="22"/>
      <x:c r="C602" s="26"/>
      <x:c r="D602" s="22"/>
      <x:c r="E602" s="22"/>
      <x:c r="F602" s="22"/>
      <x:c r="G602" s="22"/>
      <x:c r="H602" s="26"/>
      <x:c r="I602" s="22"/>
      <x:c r="J602" s="22"/>
      <x:c r="K602" s="22"/>
      <x:c r="L602" s="22" t="str">
        <x:f>IF(OR(H602="",J602="Состоялась",J602="Отменена"),"",H602-TODAY())</x:f>
      </x:c>
    </x:row>
  </x:sheetData>
  <x:mergeCells>
    <x:mergeCell ref="A1:L1"/>
  </x:mergeCells>
  <x:conditionalFormatting sqref="J3:J602">
    <x:cfRule type="expression" dxfId="9" priority="1">
      <x:formula>J3="Просрочена"</x:formula>
    </x:cfRule>
  </x:conditionalFormatting>
  <x:conditionalFormatting sqref="I3:I602">
    <x:cfRule type="expression" dxfId="10" priority="2">
      <x:formula>I3="Чрезмерная"</x:formula>
    </x:cfRule>
    <x:cfRule type="expression" dxfId="11" priority="3">
      <x:formula>I3="Высокая"</x:formula>
    </x:cfRule>
  </x:conditionalFormatting>
  <x:conditionalFormatting sqref="L3:L602">
    <x:cfRule type="cellIs" dxfId="12" priority="4" operator="lessThan">
      <x:formula>0</x:formula>
    </x:cfRule>
  </x:conditionalFormatting>
  <x:dataValidations count="3">
    <x:dataValidation type="list" sqref="B3:B602">
      <x:formula1>'Маршруты'!$A$3:$A$302</x:formula1>
    </x:dataValidation>
    <x:dataValidation type="list" sqref="I3:I602">
      <x:formula1>'Справочники'!$O$2:$O$5</x:formula1>
    </x:dataValidation>
    <x:dataValidation type="list" sqref="J3:J602">
      <x:formula1>'Справочники'!$G$2:$G$6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830eed5ccd4f6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4" hidden="0" customWidth="1"/>
    <x:col min="4" max="4" width="16" hidden="0" customWidth="1"/>
    <x:col min="5" max="5" width="16" hidden="0" customWidth="1"/>
    <x:col min="6" max="6" width="12" hidden="0" customWidth="1"/>
    <x:col min="7" max="7" width="15" hidden="0" customWidth="1"/>
    <x:col min="8" max="8" width="20" hidden="0" customWidth="1"/>
    <x:col min="9" max="9" width="13" hidden="0" customWidth="1"/>
    <x:col min="10" max="10" width="13" hidden="0" customWidth="1"/>
    <x:col min="11" max="11" width="10" hidden="0" customWidth="1"/>
    <x:col min="12" max="12" width="10" hidden="0" customWidth="1"/>
    <x:col min="13" max="13" width="10" hidden="0" customWidth="1"/>
    <x:col min="14" max="14" width="14" hidden="0" customWidth="1"/>
    <x:col min="15" max="15" width="14" hidden="0" customWidth="1"/>
    <x:col min="16" max="16" width="30" hidden="0" customWidth="1"/>
  </x:cols>
  <x:sheetData>
    <x:row r="1" ht="30" customHeight="1">
      <x:c r="A1" s="16" t="str">
        <x:v>ОБРАЗОВАТЕЛЬНЫЕ ПРОБЫ: охват и конверсия в маршруты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</x:row>
    <x:row r="2" ht="32" customHeight="1">
      <x:c r="A2" s="6" t="str">
        <x:v>ID пробы</x:v>
      </x:c>
      <x:c r="B2" s="6" t="str">
        <x:v>Название</x:v>
      </x:c>
      <x:c r="C2" s="6" t="str">
        <x:v>МО / предметная область</x:v>
      </x:c>
      <x:c r="D2" s="6" t="str">
        <x:v>Класс / возраст</x:v>
      </x:c>
      <x:c r="E2" s="6" t="str">
        <x:v>Направление</x:v>
      </x:c>
      <x:c r="F2" s="6" t="str">
        <x:v>Дата</x:v>
      </x:c>
      <x:c r="G2" s="6" t="str">
        <x:v>Статус</x:v>
      </x:c>
      <x:c r="H2" s="6" t="str">
        <x:v>Ответственный</x:v>
      </x:c>
      <x:c r="I2" s="6" t="str">
        <x:v>План участников</x:v>
      </x:c>
      <x:c r="J2" s="6" t="str">
        <x:v>Факт участников</x:v>
      </x:c>
      <x:c r="K2" s="6" t="str">
        <x:v>Сигналов</x:v>
      </x:c>
      <x:c r="L2" s="6" t="str">
        <x:v>Профилей</x:v>
      </x:c>
      <x:c r="M2" s="6" t="str">
        <x:v>Маршрутов</x:v>
      </x:c>
      <x:c r="N2" s="6" t="str">
        <x:v>Сигналы / участники</x:v>
      </x:c>
      <x:c r="O2" s="6" t="str">
        <x:v>Маршруты / сигналы</x:v>
      </x:c>
      <x:c r="P2" s="6" t="str">
        <x:v>Ссылка / примечание</x:v>
      </x:c>
    </x:row>
    <x:row r="3">
      <x:c r="A3" s="22" t="str">
        <x:f>IF(B3="","","PRB-"&amp;TEXT(ROW()-2,"0000"))</x:f>
      </x:c>
      <x:c r="B3" s="22"/>
      <x:c r="C3" s="22"/>
      <x:c r="D3" s="22"/>
      <x:c r="E3" s="22"/>
      <x:c r="F3" s="26"/>
      <x:c r="G3" s="22"/>
      <x:c r="H3" s="22"/>
      <x:c r="I3" s="22"/>
      <x:c r="J3" s="22"/>
      <x:c r="K3" s="22"/>
      <x:c r="L3" s="22"/>
      <x:c r="M3" s="22"/>
      <x:c r="N3" s="28" t="n">
        <x:f>IFERROR(K3/J3,0)</x:f>
        <x:v>0</x:v>
      </x:c>
      <x:c r="O3" s="28" t="n">
        <x:f>IFERROR(M3/K3,0)</x:f>
        <x:v>0</x:v>
      </x:c>
      <x:c r="P3" s="22"/>
    </x:row>
    <x:row r="4">
      <x:c r="A4" s="22" t="str">
        <x:f>IF(B4="","","PRB-"&amp;TEXT(ROW()-2,"0000"))</x:f>
      </x:c>
      <x:c r="B4" s="22"/>
      <x:c r="C4" s="22"/>
      <x:c r="D4" s="22"/>
      <x:c r="E4" s="22"/>
      <x:c r="F4" s="26"/>
      <x:c r="G4" s="22"/>
      <x:c r="H4" s="22"/>
      <x:c r="I4" s="22"/>
      <x:c r="J4" s="22"/>
      <x:c r="K4" s="22"/>
      <x:c r="L4" s="22"/>
      <x:c r="M4" s="22"/>
      <x:c r="N4" s="28" t="n">
        <x:f>IFERROR(K4/J4,0)</x:f>
        <x:v>0</x:v>
      </x:c>
      <x:c r="O4" s="28" t="n">
        <x:f>IFERROR(M4/K4,0)</x:f>
        <x:v>0</x:v>
      </x:c>
      <x:c r="P4" s="22"/>
    </x:row>
    <x:row r="5">
      <x:c r="A5" s="22" t="str">
        <x:f>IF(B5="","","PRB-"&amp;TEXT(ROW()-2,"0000"))</x:f>
      </x:c>
      <x:c r="B5" s="22"/>
      <x:c r="C5" s="22"/>
      <x:c r="D5" s="22"/>
      <x:c r="E5" s="22"/>
      <x:c r="F5" s="26"/>
      <x:c r="G5" s="22"/>
      <x:c r="H5" s="22"/>
      <x:c r="I5" s="22"/>
      <x:c r="J5" s="22"/>
      <x:c r="K5" s="22"/>
      <x:c r="L5" s="22"/>
      <x:c r="M5" s="22"/>
      <x:c r="N5" s="28" t="n">
        <x:f>IFERROR(K5/J5,0)</x:f>
        <x:v>0</x:v>
      </x:c>
      <x:c r="O5" s="28" t="n">
        <x:f>IFERROR(M5/K5,0)</x:f>
        <x:v>0</x:v>
      </x:c>
      <x:c r="P5" s="22"/>
    </x:row>
    <x:row r="6">
      <x:c r="A6" s="22" t="str">
        <x:f>IF(B6="","","PRB-"&amp;TEXT(ROW()-2,"0000"))</x:f>
      </x:c>
      <x:c r="B6" s="22"/>
      <x:c r="C6" s="22"/>
      <x:c r="D6" s="22"/>
      <x:c r="E6" s="22"/>
      <x:c r="F6" s="26"/>
      <x:c r="G6" s="22"/>
      <x:c r="H6" s="22"/>
      <x:c r="I6" s="22"/>
      <x:c r="J6" s="22"/>
      <x:c r="K6" s="22"/>
      <x:c r="L6" s="22"/>
      <x:c r="M6" s="22"/>
      <x:c r="N6" s="28" t="n">
        <x:f>IFERROR(K6/J6,0)</x:f>
        <x:v>0</x:v>
      </x:c>
      <x:c r="O6" s="28" t="n">
        <x:f>IFERROR(M6/K6,0)</x:f>
        <x:v>0</x:v>
      </x:c>
      <x:c r="P6" s="22"/>
    </x:row>
    <x:row r="7">
      <x:c r="A7" s="22" t="str">
        <x:f>IF(B7="","","PRB-"&amp;TEXT(ROW()-2,"0000"))</x:f>
      </x:c>
      <x:c r="B7" s="22"/>
      <x:c r="C7" s="22"/>
      <x:c r="D7" s="22"/>
      <x:c r="E7" s="22"/>
      <x:c r="F7" s="26"/>
      <x:c r="G7" s="22"/>
      <x:c r="H7" s="22"/>
      <x:c r="I7" s="22"/>
      <x:c r="J7" s="22"/>
      <x:c r="K7" s="22"/>
      <x:c r="L7" s="22"/>
      <x:c r="M7" s="22"/>
      <x:c r="N7" s="28" t="n">
        <x:f>IFERROR(K7/J7,0)</x:f>
        <x:v>0</x:v>
      </x:c>
      <x:c r="O7" s="28" t="n">
        <x:f>IFERROR(M7/K7,0)</x:f>
        <x:v>0</x:v>
      </x:c>
      <x:c r="P7" s="22"/>
    </x:row>
    <x:row r="8">
      <x:c r="A8" s="22" t="str">
        <x:f>IF(B8="","","PRB-"&amp;TEXT(ROW()-2,"0000"))</x:f>
      </x:c>
      <x:c r="B8" s="22"/>
      <x:c r="C8" s="22"/>
      <x:c r="D8" s="22"/>
      <x:c r="E8" s="22"/>
      <x:c r="F8" s="26"/>
      <x:c r="G8" s="22"/>
      <x:c r="H8" s="22"/>
      <x:c r="I8" s="22"/>
      <x:c r="J8" s="22"/>
      <x:c r="K8" s="22"/>
      <x:c r="L8" s="22"/>
      <x:c r="M8" s="22"/>
      <x:c r="N8" s="28" t="n">
        <x:f>IFERROR(K8/J8,0)</x:f>
        <x:v>0</x:v>
      </x:c>
      <x:c r="O8" s="28" t="n">
        <x:f>IFERROR(M8/K8,0)</x:f>
        <x:v>0</x:v>
      </x:c>
      <x:c r="P8" s="22"/>
    </x:row>
    <x:row r="9">
      <x:c r="A9" s="22" t="str">
        <x:f>IF(B9="","","PRB-"&amp;TEXT(ROW()-2,"0000"))</x:f>
      </x:c>
      <x:c r="B9" s="22"/>
      <x:c r="C9" s="22"/>
      <x:c r="D9" s="22"/>
      <x:c r="E9" s="22"/>
      <x:c r="F9" s="26"/>
      <x:c r="G9" s="22"/>
      <x:c r="H9" s="22"/>
      <x:c r="I9" s="22"/>
      <x:c r="J9" s="22"/>
      <x:c r="K9" s="22"/>
      <x:c r="L9" s="22"/>
      <x:c r="M9" s="22"/>
      <x:c r="N9" s="28" t="n">
        <x:f>IFERROR(K9/J9,0)</x:f>
        <x:v>0</x:v>
      </x:c>
      <x:c r="O9" s="28" t="n">
        <x:f>IFERROR(M9/K9,0)</x:f>
        <x:v>0</x:v>
      </x:c>
      <x:c r="P9" s="22"/>
    </x:row>
    <x:row r="10">
      <x:c r="A10" s="22" t="str">
        <x:f>IF(B10="","","PRB-"&amp;TEXT(ROW()-2,"0000"))</x:f>
      </x:c>
      <x:c r="B10" s="22"/>
      <x:c r="C10" s="22"/>
      <x:c r="D10" s="22"/>
      <x:c r="E10" s="22"/>
      <x:c r="F10" s="26"/>
      <x:c r="G10" s="22"/>
      <x:c r="H10" s="22"/>
      <x:c r="I10" s="22"/>
      <x:c r="J10" s="22"/>
      <x:c r="K10" s="22"/>
      <x:c r="L10" s="22"/>
      <x:c r="M10" s="22"/>
      <x:c r="N10" s="28" t="n">
        <x:f>IFERROR(K10/J10,0)</x:f>
        <x:v>0</x:v>
      </x:c>
      <x:c r="O10" s="28" t="n">
        <x:f>IFERROR(M10/K10,0)</x:f>
        <x:v>0</x:v>
      </x:c>
      <x:c r="P10" s="22"/>
    </x:row>
    <x:row r="11">
      <x:c r="A11" s="22" t="str">
        <x:f>IF(B11="","","PRB-"&amp;TEXT(ROW()-2,"0000"))</x:f>
      </x:c>
      <x:c r="B11" s="22"/>
      <x:c r="C11" s="22"/>
      <x:c r="D11" s="22"/>
      <x:c r="E11" s="22"/>
      <x:c r="F11" s="26"/>
      <x:c r="G11" s="22"/>
      <x:c r="H11" s="22"/>
      <x:c r="I11" s="22"/>
      <x:c r="J11" s="22"/>
      <x:c r="K11" s="22"/>
      <x:c r="L11" s="22"/>
      <x:c r="M11" s="22"/>
      <x:c r="N11" s="28" t="n">
        <x:f>IFERROR(K11/J11,0)</x:f>
        <x:v>0</x:v>
      </x:c>
      <x:c r="O11" s="28" t="n">
        <x:f>IFERROR(M11/K11,0)</x:f>
        <x:v>0</x:v>
      </x:c>
      <x:c r="P11" s="22"/>
    </x:row>
    <x:row r="12">
      <x:c r="A12" s="22" t="str">
        <x:f>IF(B12="","","PRB-"&amp;TEXT(ROW()-2,"0000"))</x:f>
      </x:c>
      <x:c r="B12" s="22"/>
      <x:c r="C12" s="22"/>
      <x:c r="D12" s="22"/>
      <x:c r="E12" s="22"/>
      <x:c r="F12" s="26"/>
      <x:c r="G12" s="22"/>
      <x:c r="H12" s="22"/>
      <x:c r="I12" s="22"/>
      <x:c r="J12" s="22"/>
      <x:c r="K12" s="22"/>
      <x:c r="L12" s="22"/>
      <x:c r="M12" s="22"/>
      <x:c r="N12" s="28" t="n">
        <x:f>IFERROR(K12/J12,0)</x:f>
        <x:v>0</x:v>
      </x:c>
      <x:c r="O12" s="28" t="n">
        <x:f>IFERROR(M12/K12,0)</x:f>
        <x:v>0</x:v>
      </x:c>
      <x:c r="P12" s="22"/>
    </x:row>
    <x:row r="13">
      <x:c r="A13" s="22" t="str">
        <x:f>IF(B13="","","PRB-"&amp;TEXT(ROW()-2,"0000"))</x:f>
      </x:c>
      <x:c r="B13" s="22"/>
      <x:c r="C13" s="22"/>
      <x:c r="D13" s="22"/>
      <x:c r="E13" s="22"/>
      <x:c r="F13" s="26"/>
      <x:c r="G13" s="22"/>
      <x:c r="H13" s="22"/>
      <x:c r="I13" s="22"/>
      <x:c r="J13" s="22"/>
      <x:c r="K13" s="22"/>
      <x:c r="L13" s="22"/>
      <x:c r="M13" s="22"/>
      <x:c r="N13" s="28" t="n">
        <x:f>IFERROR(K13/J13,0)</x:f>
        <x:v>0</x:v>
      </x:c>
      <x:c r="O13" s="28" t="n">
        <x:f>IFERROR(M13/K13,0)</x:f>
        <x:v>0</x:v>
      </x:c>
      <x:c r="P13" s="22"/>
    </x:row>
    <x:row r="14">
      <x:c r="A14" s="22" t="str">
        <x:f>IF(B14="","","PRB-"&amp;TEXT(ROW()-2,"0000"))</x:f>
      </x:c>
      <x:c r="B14" s="22"/>
      <x:c r="C14" s="22"/>
      <x:c r="D14" s="22"/>
      <x:c r="E14" s="22"/>
      <x:c r="F14" s="26"/>
      <x:c r="G14" s="22"/>
      <x:c r="H14" s="22"/>
      <x:c r="I14" s="22"/>
      <x:c r="J14" s="22"/>
      <x:c r="K14" s="22"/>
      <x:c r="L14" s="22"/>
      <x:c r="M14" s="22"/>
      <x:c r="N14" s="28" t="n">
        <x:f>IFERROR(K14/J14,0)</x:f>
        <x:v>0</x:v>
      </x:c>
      <x:c r="O14" s="28" t="n">
        <x:f>IFERROR(M14/K14,0)</x:f>
        <x:v>0</x:v>
      </x:c>
      <x:c r="P14" s="22"/>
    </x:row>
    <x:row r="15">
      <x:c r="A15" s="22" t="str">
        <x:f>IF(B15="","","PRB-"&amp;TEXT(ROW()-2,"0000"))</x:f>
      </x:c>
      <x:c r="B15" s="22"/>
      <x:c r="C15" s="22"/>
      <x:c r="D15" s="22"/>
      <x:c r="E15" s="22"/>
      <x:c r="F15" s="26"/>
      <x:c r="G15" s="22"/>
      <x:c r="H15" s="22"/>
      <x:c r="I15" s="22"/>
      <x:c r="J15" s="22"/>
      <x:c r="K15" s="22"/>
      <x:c r="L15" s="22"/>
      <x:c r="M15" s="22"/>
      <x:c r="N15" s="28" t="n">
        <x:f>IFERROR(K15/J15,0)</x:f>
        <x:v>0</x:v>
      </x:c>
      <x:c r="O15" s="28" t="n">
        <x:f>IFERROR(M15/K15,0)</x:f>
        <x:v>0</x:v>
      </x:c>
      <x:c r="P15" s="22"/>
    </x:row>
    <x:row r="16">
      <x:c r="A16" s="22" t="str">
        <x:f>IF(B16="","","PRB-"&amp;TEXT(ROW()-2,"0000"))</x:f>
      </x:c>
      <x:c r="B16" s="22"/>
      <x:c r="C16" s="22"/>
      <x:c r="D16" s="22"/>
      <x:c r="E16" s="22"/>
      <x:c r="F16" s="26"/>
      <x:c r="G16" s="22"/>
      <x:c r="H16" s="22"/>
      <x:c r="I16" s="22"/>
      <x:c r="J16" s="22"/>
      <x:c r="K16" s="22"/>
      <x:c r="L16" s="22"/>
      <x:c r="M16" s="22"/>
      <x:c r="N16" s="28" t="n">
        <x:f>IFERROR(K16/J16,0)</x:f>
        <x:v>0</x:v>
      </x:c>
      <x:c r="O16" s="28" t="n">
        <x:f>IFERROR(M16/K16,0)</x:f>
        <x:v>0</x:v>
      </x:c>
      <x:c r="P16" s="22"/>
    </x:row>
    <x:row r="17">
      <x:c r="A17" s="22" t="str">
        <x:f>IF(B17="","","PRB-"&amp;TEXT(ROW()-2,"0000"))</x:f>
      </x:c>
      <x:c r="B17" s="22"/>
      <x:c r="C17" s="22"/>
      <x:c r="D17" s="22"/>
      <x:c r="E17" s="22"/>
      <x:c r="F17" s="26"/>
      <x:c r="G17" s="22"/>
      <x:c r="H17" s="22"/>
      <x:c r="I17" s="22"/>
      <x:c r="J17" s="22"/>
      <x:c r="K17" s="22"/>
      <x:c r="L17" s="22"/>
      <x:c r="M17" s="22"/>
      <x:c r="N17" s="28" t="n">
        <x:f>IFERROR(K17/J17,0)</x:f>
        <x:v>0</x:v>
      </x:c>
      <x:c r="O17" s="28" t="n">
        <x:f>IFERROR(M17/K17,0)</x:f>
        <x:v>0</x:v>
      </x:c>
      <x:c r="P17" s="22"/>
    </x:row>
    <x:row r="18">
      <x:c r="A18" s="22" t="str">
        <x:f>IF(B18="","","PRB-"&amp;TEXT(ROW()-2,"0000"))</x:f>
      </x:c>
      <x:c r="B18" s="22"/>
      <x:c r="C18" s="22"/>
      <x:c r="D18" s="22"/>
      <x:c r="E18" s="22"/>
      <x:c r="F18" s="26"/>
      <x:c r="G18" s="22"/>
      <x:c r="H18" s="22"/>
      <x:c r="I18" s="22"/>
      <x:c r="J18" s="22"/>
      <x:c r="K18" s="22"/>
      <x:c r="L18" s="22"/>
      <x:c r="M18" s="22"/>
      <x:c r="N18" s="28" t="n">
        <x:f>IFERROR(K18/J18,0)</x:f>
        <x:v>0</x:v>
      </x:c>
      <x:c r="O18" s="28" t="n">
        <x:f>IFERROR(M18/K18,0)</x:f>
        <x:v>0</x:v>
      </x:c>
      <x:c r="P18" s="22"/>
    </x:row>
    <x:row r="19">
      <x:c r="A19" s="22" t="str">
        <x:f>IF(B19="","","PRB-"&amp;TEXT(ROW()-2,"0000"))</x:f>
      </x:c>
      <x:c r="B19" s="22"/>
      <x:c r="C19" s="22"/>
      <x:c r="D19" s="22"/>
      <x:c r="E19" s="22"/>
      <x:c r="F19" s="26"/>
      <x:c r="G19" s="22"/>
      <x:c r="H19" s="22"/>
      <x:c r="I19" s="22"/>
      <x:c r="J19" s="22"/>
      <x:c r="K19" s="22"/>
      <x:c r="L19" s="22"/>
      <x:c r="M19" s="22"/>
      <x:c r="N19" s="28" t="n">
        <x:f>IFERROR(K19/J19,0)</x:f>
        <x:v>0</x:v>
      </x:c>
      <x:c r="O19" s="28" t="n">
        <x:f>IFERROR(M19/K19,0)</x:f>
        <x:v>0</x:v>
      </x:c>
      <x:c r="P19" s="22"/>
    </x:row>
    <x:row r="20">
      <x:c r="A20" s="22" t="str">
        <x:f>IF(B20="","","PRB-"&amp;TEXT(ROW()-2,"0000"))</x:f>
      </x:c>
      <x:c r="B20" s="22"/>
      <x:c r="C20" s="22"/>
      <x:c r="D20" s="22"/>
      <x:c r="E20" s="22"/>
      <x:c r="F20" s="26"/>
      <x:c r="G20" s="22"/>
      <x:c r="H20" s="22"/>
      <x:c r="I20" s="22"/>
      <x:c r="J20" s="22"/>
      <x:c r="K20" s="22"/>
      <x:c r="L20" s="22"/>
      <x:c r="M20" s="22"/>
      <x:c r="N20" s="28" t="n">
        <x:f>IFERROR(K20/J20,0)</x:f>
        <x:v>0</x:v>
      </x:c>
      <x:c r="O20" s="28" t="n">
        <x:f>IFERROR(M20/K20,0)</x:f>
        <x:v>0</x:v>
      </x:c>
      <x:c r="P20" s="22"/>
    </x:row>
    <x:row r="21">
      <x:c r="A21" s="22" t="str">
        <x:f>IF(B21="","","PRB-"&amp;TEXT(ROW()-2,"0000"))</x:f>
      </x:c>
      <x:c r="B21" s="22"/>
      <x:c r="C21" s="22"/>
      <x:c r="D21" s="22"/>
      <x:c r="E21" s="22"/>
      <x:c r="F21" s="26"/>
      <x:c r="G21" s="22"/>
      <x:c r="H21" s="22"/>
      <x:c r="I21" s="22"/>
      <x:c r="J21" s="22"/>
      <x:c r="K21" s="22"/>
      <x:c r="L21" s="22"/>
      <x:c r="M21" s="22"/>
      <x:c r="N21" s="28" t="n">
        <x:f>IFERROR(K21/J21,0)</x:f>
        <x:v>0</x:v>
      </x:c>
      <x:c r="O21" s="28" t="n">
        <x:f>IFERROR(M21/K21,0)</x:f>
        <x:v>0</x:v>
      </x:c>
      <x:c r="P21" s="22"/>
    </x:row>
    <x:row r="22">
      <x:c r="A22" s="22" t="str">
        <x:f>IF(B22="","","PRB-"&amp;TEXT(ROW()-2,"0000"))</x:f>
      </x:c>
      <x:c r="B22" s="22"/>
      <x:c r="C22" s="22"/>
      <x:c r="D22" s="22"/>
      <x:c r="E22" s="22"/>
      <x:c r="F22" s="26"/>
      <x:c r="G22" s="22"/>
      <x:c r="H22" s="22"/>
      <x:c r="I22" s="22"/>
      <x:c r="J22" s="22"/>
      <x:c r="K22" s="22"/>
      <x:c r="L22" s="22"/>
      <x:c r="M22" s="22"/>
      <x:c r="N22" s="28" t="n">
        <x:f>IFERROR(K22/J22,0)</x:f>
        <x:v>0</x:v>
      </x:c>
      <x:c r="O22" s="28" t="n">
        <x:f>IFERROR(M22/K22,0)</x:f>
        <x:v>0</x:v>
      </x:c>
      <x:c r="P22" s="22"/>
    </x:row>
    <x:row r="23">
      <x:c r="A23" s="22" t="str">
        <x:f>IF(B23="","","PRB-"&amp;TEXT(ROW()-2,"0000"))</x:f>
      </x:c>
      <x:c r="B23" s="22"/>
      <x:c r="C23" s="22"/>
      <x:c r="D23" s="22"/>
      <x:c r="E23" s="22"/>
      <x:c r="F23" s="26"/>
      <x:c r="G23" s="22"/>
      <x:c r="H23" s="22"/>
      <x:c r="I23" s="22"/>
      <x:c r="J23" s="22"/>
      <x:c r="K23" s="22"/>
      <x:c r="L23" s="22"/>
      <x:c r="M23" s="22"/>
      <x:c r="N23" s="28" t="n">
        <x:f>IFERROR(K23/J23,0)</x:f>
        <x:v>0</x:v>
      </x:c>
      <x:c r="O23" s="28" t="n">
        <x:f>IFERROR(M23/K23,0)</x:f>
        <x:v>0</x:v>
      </x:c>
      <x:c r="P23" s="22"/>
    </x:row>
    <x:row r="24">
      <x:c r="A24" s="22" t="str">
        <x:f>IF(B24="","","PRB-"&amp;TEXT(ROW()-2,"0000"))</x:f>
      </x:c>
      <x:c r="B24" s="22"/>
      <x:c r="C24" s="22"/>
      <x:c r="D24" s="22"/>
      <x:c r="E24" s="22"/>
      <x:c r="F24" s="26"/>
      <x:c r="G24" s="22"/>
      <x:c r="H24" s="22"/>
      <x:c r="I24" s="22"/>
      <x:c r="J24" s="22"/>
      <x:c r="K24" s="22"/>
      <x:c r="L24" s="22"/>
      <x:c r="M24" s="22"/>
      <x:c r="N24" s="28" t="n">
        <x:f>IFERROR(K24/J24,0)</x:f>
        <x:v>0</x:v>
      </x:c>
      <x:c r="O24" s="28" t="n">
        <x:f>IFERROR(M24/K24,0)</x:f>
        <x:v>0</x:v>
      </x:c>
      <x:c r="P24" s="22"/>
    </x:row>
    <x:row r="25">
      <x:c r="A25" s="22" t="str">
        <x:f>IF(B25="","","PRB-"&amp;TEXT(ROW()-2,"0000"))</x:f>
      </x:c>
      <x:c r="B25" s="22"/>
      <x:c r="C25" s="22"/>
      <x:c r="D25" s="22"/>
      <x:c r="E25" s="22"/>
      <x:c r="F25" s="26"/>
      <x:c r="G25" s="22"/>
      <x:c r="H25" s="22"/>
      <x:c r="I25" s="22"/>
      <x:c r="J25" s="22"/>
      <x:c r="K25" s="22"/>
      <x:c r="L25" s="22"/>
      <x:c r="M25" s="22"/>
      <x:c r="N25" s="28" t="n">
        <x:f>IFERROR(K25/J25,0)</x:f>
        <x:v>0</x:v>
      </x:c>
      <x:c r="O25" s="28" t="n">
        <x:f>IFERROR(M25/K25,0)</x:f>
        <x:v>0</x:v>
      </x:c>
      <x:c r="P25" s="22"/>
    </x:row>
    <x:row r="26">
      <x:c r="A26" s="22" t="str">
        <x:f>IF(B26="","","PRB-"&amp;TEXT(ROW()-2,"0000"))</x:f>
      </x:c>
      <x:c r="B26" s="22"/>
      <x:c r="C26" s="22"/>
      <x:c r="D26" s="22"/>
      <x:c r="E26" s="22"/>
      <x:c r="F26" s="26"/>
      <x:c r="G26" s="22"/>
      <x:c r="H26" s="22"/>
      <x:c r="I26" s="22"/>
      <x:c r="J26" s="22"/>
      <x:c r="K26" s="22"/>
      <x:c r="L26" s="22"/>
      <x:c r="M26" s="22"/>
      <x:c r="N26" s="28" t="n">
        <x:f>IFERROR(K26/J26,0)</x:f>
        <x:v>0</x:v>
      </x:c>
      <x:c r="O26" s="28" t="n">
        <x:f>IFERROR(M26/K26,0)</x:f>
        <x:v>0</x:v>
      </x:c>
      <x:c r="P26" s="22"/>
    </x:row>
    <x:row r="27">
      <x:c r="A27" s="22" t="str">
        <x:f>IF(B27="","","PRB-"&amp;TEXT(ROW()-2,"0000"))</x:f>
      </x:c>
      <x:c r="B27" s="22"/>
      <x:c r="C27" s="22"/>
      <x:c r="D27" s="22"/>
      <x:c r="E27" s="22"/>
      <x:c r="F27" s="26"/>
      <x:c r="G27" s="22"/>
      <x:c r="H27" s="22"/>
      <x:c r="I27" s="22"/>
      <x:c r="J27" s="22"/>
      <x:c r="K27" s="22"/>
      <x:c r="L27" s="22"/>
      <x:c r="M27" s="22"/>
      <x:c r="N27" s="28" t="n">
        <x:f>IFERROR(K27/J27,0)</x:f>
        <x:v>0</x:v>
      </x:c>
      <x:c r="O27" s="28" t="n">
        <x:f>IFERROR(M27/K27,0)</x:f>
        <x:v>0</x:v>
      </x:c>
      <x:c r="P27" s="22"/>
    </x:row>
    <x:row r="28">
      <x:c r="A28" s="22" t="str">
        <x:f>IF(B28="","","PRB-"&amp;TEXT(ROW()-2,"0000"))</x:f>
      </x:c>
      <x:c r="B28" s="22"/>
      <x:c r="C28" s="22"/>
      <x:c r="D28" s="22"/>
      <x:c r="E28" s="22"/>
      <x:c r="F28" s="26"/>
      <x:c r="G28" s="22"/>
      <x:c r="H28" s="22"/>
      <x:c r="I28" s="22"/>
      <x:c r="J28" s="22"/>
      <x:c r="K28" s="22"/>
      <x:c r="L28" s="22"/>
      <x:c r="M28" s="22"/>
      <x:c r="N28" s="28" t="n">
        <x:f>IFERROR(K28/J28,0)</x:f>
        <x:v>0</x:v>
      </x:c>
      <x:c r="O28" s="28" t="n">
        <x:f>IFERROR(M28/K28,0)</x:f>
        <x:v>0</x:v>
      </x:c>
      <x:c r="P28" s="22"/>
    </x:row>
    <x:row r="29">
      <x:c r="A29" s="22" t="str">
        <x:f>IF(B29="","","PRB-"&amp;TEXT(ROW()-2,"0000"))</x:f>
      </x:c>
      <x:c r="B29" s="22"/>
      <x:c r="C29" s="22"/>
      <x:c r="D29" s="22"/>
      <x:c r="E29" s="22"/>
      <x:c r="F29" s="26"/>
      <x:c r="G29" s="22"/>
      <x:c r="H29" s="22"/>
      <x:c r="I29" s="22"/>
      <x:c r="J29" s="22"/>
      <x:c r="K29" s="22"/>
      <x:c r="L29" s="22"/>
      <x:c r="M29" s="22"/>
      <x:c r="N29" s="28" t="n">
        <x:f>IFERROR(K29/J29,0)</x:f>
        <x:v>0</x:v>
      </x:c>
      <x:c r="O29" s="28" t="n">
        <x:f>IFERROR(M29/K29,0)</x:f>
        <x:v>0</x:v>
      </x:c>
      <x:c r="P29" s="22"/>
    </x:row>
    <x:row r="30">
      <x:c r="A30" s="22" t="str">
        <x:f>IF(B30="","","PRB-"&amp;TEXT(ROW()-2,"0000"))</x:f>
      </x:c>
      <x:c r="B30" s="22"/>
      <x:c r="C30" s="22"/>
      <x:c r="D30" s="22"/>
      <x:c r="E30" s="22"/>
      <x:c r="F30" s="26"/>
      <x:c r="G30" s="22"/>
      <x:c r="H30" s="22"/>
      <x:c r="I30" s="22"/>
      <x:c r="J30" s="22"/>
      <x:c r="K30" s="22"/>
      <x:c r="L30" s="22"/>
      <x:c r="M30" s="22"/>
      <x:c r="N30" s="28" t="n">
        <x:f>IFERROR(K30/J30,0)</x:f>
        <x:v>0</x:v>
      </x:c>
      <x:c r="O30" s="28" t="n">
        <x:f>IFERROR(M30/K30,0)</x:f>
        <x:v>0</x:v>
      </x:c>
      <x:c r="P30" s="22"/>
    </x:row>
    <x:row r="31">
      <x:c r="A31" s="22" t="str">
        <x:f>IF(B31="","","PRB-"&amp;TEXT(ROW()-2,"0000"))</x:f>
      </x:c>
      <x:c r="B31" s="22"/>
      <x:c r="C31" s="22"/>
      <x:c r="D31" s="22"/>
      <x:c r="E31" s="22"/>
      <x:c r="F31" s="26"/>
      <x:c r="G31" s="22"/>
      <x:c r="H31" s="22"/>
      <x:c r="I31" s="22"/>
      <x:c r="J31" s="22"/>
      <x:c r="K31" s="22"/>
      <x:c r="L31" s="22"/>
      <x:c r="M31" s="22"/>
      <x:c r="N31" s="28" t="n">
        <x:f>IFERROR(K31/J31,0)</x:f>
        <x:v>0</x:v>
      </x:c>
      <x:c r="O31" s="28" t="n">
        <x:f>IFERROR(M31/K31,0)</x:f>
        <x:v>0</x:v>
      </x:c>
      <x:c r="P31" s="22"/>
    </x:row>
    <x:row r="32">
      <x:c r="A32" s="22" t="str">
        <x:f>IF(B32="","","PRB-"&amp;TEXT(ROW()-2,"0000"))</x:f>
      </x:c>
      <x:c r="B32" s="22"/>
      <x:c r="C32" s="22"/>
      <x:c r="D32" s="22"/>
      <x:c r="E32" s="22"/>
      <x:c r="F32" s="26"/>
      <x:c r="G32" s="22"/>
      <x:c r="H32" s="22"/>
      <x:c r="I32" s="22"/>
      <x:c r="J32" s="22"/>
      <x:c r="K32" s="22"/>
      <x:c r="L32" s="22"/>
      <x:c r="M32" s="22"/>
      <x:c r="N32" s="28" t="n">
        <x:f>IFERROR(K32/J32,0)</x:f>
        <x:v>0</x:v>
      </x:c>
      <x:c r="O32" s="28" t="n">
        <x:f>IFERROR(M32/K32,0)</x:f>
        <x:v>0</x:v>
      </x:c>
      <x:c r="P32" s="22"/>
    </x:row>
    <x:row r="33">
      <x:c r="A33" s="22" t="str">
        <x:f>IF(B33="","","PRB-"&amp;TEXT(ROW()-2,"0000"))</x:f>
      </x:c>
      <x:c r="B33" s="22"/>
      <x:c r="C33" s="22"/>
      <x:c r="D33" s="22"/>
      <x:c r="E33" s="22"/>
      <x:c r="F33" s="26"/>
      <x:c r="G33" s="22"/>
      <x:c r="H33" s="22"/>
      <x:c r="I33" s="22"/>
      <x:c r="J33" s="22"/>
      <x:c r="K33" s="22"/>
      <x:c r="L33" s="22"/>
      <x:c r="M33" s="22"/>
      <x:c r="N33" s="28" t="n">
        <x:f>IFERROR(K33/J33,0)</x:f>
        <x:v>0</x:v>
      </x:c>
      <x:c r="O33" s="28" t="n">
        <x:f>IFERROR(M33/K33,0)</x:f>
        <x:v>0</x:v>
      </x:c>
      <x:c r="P33" s="22"/>
    </x:row>
    <x:row r="34">
      <x:c r="A34" s="22" t="str">
        <x:f>IF(B34="","","PRB-"&amp;TEXT(ROW()-2,"0000"))</x:f>
      </x:c>
      <x:c r="B34" s="22"/>
      <x:c r="C34" s="22"/>
      <x:c r="D34" s="22"/>
      <x:c r="E34" s="22"/>
      <x:c r="F34" s="26"/>
      <x:c r="G34" s="22"/>
      <x:c r="H34" s="22"/>
      <x:c r="I34" s="22"/>
      <x:c r="J34" s="22"/>
      <x:c r="K34" s="22"/>
      <x:c r="L34" s="22"/>
      <x:c r="M34" s="22"/>
      <x:c r="N34" s="28" t="n">
        <x:f>IFERROR(K34/J34,0)</x:f>
        <x:v>0</x:v>
      </x:c>
      <x:c r="O34" s="28" t="n">
        <x:f>IFERROR(M34/K34,0)</x:f>
        <x:v>0</x:v>
      </x:c>
      <x:c r="P34" s="22"/>
    </x:row>
    <x:row r="35">
      <x:c r="A35" s="22" t="str">
        <x:f>IF(B35="","","PRB-"&amp;TEXT(ROW()-2,"0000"))</x:f>
      </x:c>
      <x:c r="B35" s="22"/>
      <x:c r="C35" s="22"/>
      <x:c r="D35" s="22"/>
      <x:c r="E35" s="22"/>
      <x:c r="F35" s="26"/>
      <x:c r="G35" s="22"/>
      <x:c r="H35" s="22"/>
      <x:c r="I35" s="22"/>
      <x:c r="J35" s="22"/>
      <x:c r="K35" s="22"/>
      <x:c r="L35" s="22"/>
      <x:c r="M35" s="22"/>
      <x:c r="N35" s="28" t="n">
        <x:f>IFERROR(K35/J35,0)</x:f>
        <x:v>0</x:v>
      </x:c>
      <x:c r="O35" s="28" t="n">
        <x:f>IFERROR(M35/K35,0)</x:f>
        <x:v>0</x:v>
      </x:c>
      <x:c r="P35" s="22"/>
    </x:row>
    <x:row r="36">
      <x:c r="A36" s="22" t="str">
        <x:f>IF(B36="","","PRB-"&amp;TEXT(ROW()-2,"0000"))</x:f>
      </x:c>
      <x:c r="B36" s="22"/>
      <x:c r="C36" s="22"/>
      <x:c r="D36" s="22"/>
      <x:c r="E36" s="22"/>
      <x:c r="F36" s="26"/>
      <x:c r="G36" s="22"/>
      <x:c r="H36" s="22"/>
      <x:c r="I36" s="22"/>
      <x:c r="J36" s="22"/>
      <x:c r="K36" s="22"/>
      <x:c r="L36" s="22"/>
      <x:c r="M36" s="22"/>
      <x:c r="N36" s="28" t="n">
        <x:f>IFERROR(K36/J36,0)</x:f>
        <x:v>0</x:v>
      </x:c>
      <x:c r="O36" s="28" t="n">
        <x:f>IFERROR(M36/K36,0)</x:f>
        <x:v>0</x:v>
      </x:c>
      <x:c r="P36" s="22"/>
    </x:row>
    <x:row r="37">
      <x:c r="A37" s="22" t="str">
        <x:f>IF(B37="","","PRB-"&amp;TEXT(ROW()-2,"0000"))</x:f>
      </x:c>
      <x:c r="B37" s="22"/>
      <x:c r="C37" s="22"/>
      <x:c r="D37" s="22"/>
      <x:c r="E37" s="22"/>
      <x:c r="F37" s="26"/>
      <x:c r="G37" s="22"/>
      <x:c r="H37" s="22"/>
      <x:c r="I37" s="22"/>
      <x:c r="J37" s="22"/>
      <x:c r="K37" s="22"/>
      <x:c r="L37" s="22"/>
      <x:c r="M37" s="22"/>
      <x:c r="N37" s="28" t="n">
        <x:f>IFERROR(K37/J37,0)</x:f>
        <x:v>0</x:v>
      </x:c>
      <x:c r="O37" s="28" t="n">
        <x:f>IFERROR(M37/K37,0)</x:f>
        <x:v>0</x:v>
      </x:c>
      <x:c r="P37" s="22"/>
    </x:row>
    <x:row r="38">
      <x:c r="A38" s="22" t="str">
        <x:f>IF(B38="","","PRB-"&amp;TEXT(ROW()-2,"0000"))</x:f>
      </x:c>
      <x:c r="B38" s="22"/>
      <x:c r="C38" s="22"/>
      <x:c r="D38" s="22"/>
      <x:c r="E38" s="22"/>
      <x:c r="F38" s="26"/>
      <x:c r="G38" s="22"/>
      <x:c r="H38" s="22"/>
      <x:c r="I38" s="22"/>
      <x:c r="J38" s="22"/>
      <x:c r="K38" s="22"/>
      <x:c r="L38" s="22"/>
      <x:c r="M38" s="22"/>
      <x:c r="N38" s="28" t="n">
        <x:f>IFERROR(K38/J38,0)</x:f>
        <x:v>0</x:v>
      </x:c>
      <x:c r="O38" s="28" t="n">
        <x:f>IFERROR(M38/K38,0)</x:f>
        <x:v>0</x:v>
      </x:c>
      <x:c r="P38" s="22"/>
    </x:row>
    <x:row r="39">
      <x:c r="A39" s="22" t="str">
        <x:f>IF(B39="","","PRB-"&amp;TEXT(ROW()-2,"0000"))</x:f>
      </x:c>
      <x:c r="B39" s="22"/>
      <x:c r="C39" s="22"/>
      <x:c r="D39" s="22"/>
      <x:c r="E39" s="22"/>
      <x:c r="F39" s="26"/>
      <x:c r="G39" s="22"/>
      <x:c r="H39" s="22"/>
      <x:c r="I39" s="22"/>
      <x:c r="J39" s="22"/>
      <x:c r="K39" s="22"/>
      <x:c r="L39" s="22"/>
      <x:c r="M39" s="22"/>
      <x:c r="N39" s="28" t="n">
        <x:f>IFERROR(K39/J39,0)</x:f>
        <x:v>0</x:v>
      </x:c>
      <x:c r="O39" s="28" t="n">
        <x:f>IFERROR(M39/K39,0)</x:f>
        <x:v>0</x:v>
      </x:c>
      <x:c r="P39" s="22"/>
    </x:row>
    <x:row r="40">
      <x:c r="A40" s="22" t="str">
        <x:f>IF(B40="","","PRB-"&amp;TEXT(ROW()-2,"0000"))</x:f>
      </x:c>
      <x:c r="B40" s="22"/>
      <x:c r="C40" s="22"/>
      <x:c r="D40" s="22"/>
      <x:c r="E40" s="22"/>
      <x:c r="F40" s="26"/>
      <x:c r="G40" s="22"/>
      <x:c r="H40" s="22"/>
      <x:c r="I40" s="22"/>
      <x:c r="J40" s="22"/>
      <x:c r="K40" s="22"/>
      <x:c r="L40" s="22"/>
      <x:c r="M40" s="22"/>
      <x:c r="N40" s="28" t="n">
        <x:f>IFERROR(K40/J40,0)</x:f>
        <x:v>0</x:v>
      </x:c>
      <x:c r="O40" s="28" t="n">
        <x:f>IFERROR(M40/K40,0)</x:f>
        <x:v>0</x:v>
      </x:c>
      <x:c r="P40" s="22"/>
    </x:row>
    <x:row r="41">
      <x:c r="A41" s="22" t="str">
        <x:f>IF(B41="","","PRB-"&amp;TEXT(ROW()-2,"0000"))</x:f>
      </x:c>
      <x:c r="B41" s="22"/>
      <x:c r="C41" s="22"/>
      <x:c r="D41" s="22"/>
      <x:c r="E41" s="22"/>
      <x:c r="F41" s="26"/>
      <x:c r="G41" s="22"/>
      <x:c r="H41" s="22"/>
      <x:c r="I41" s="22"/>
      <x:c r="J41" s="22"/>
      <x:c r="K41" s="22"/>
      <x:c r="L41" s="22"/>
      <x:c r="M41" s="22"/>
      <x:c r="N41" s="28" t="n">
        <x:f>IFERROR(K41/J41,0)</x:f>
        <x:v>0</x:v>
      </x:c>
      <x:c r="O41" s="28" t="n">
        <x:f>IFERROR(M41/K41,0)</x:f>
        <x:v>0</x:v>
      </x:c>
      <x:c r="P41" s="22"/>
    </x:row>
    <x:row r="42">
      <x:c r="A42" s="22" t="str">
        <x:f>IF(B42="","","PRB-"&amp;TEXT(ROW()-2,"0000"))</x:f>
      </x:c>
      <x:c r="B42" s="22"/>
      <x:c r="C42" s="22"/>
      <x:c r="D42" s="22"/>
      <x:c r="E42" s="22"/>
      <x:c r="F42" s="26"/>
      <x:c r="G42" s="22"/>
      <x:c r="H42" s="22"/>
      <x:c r="I42" s="22"/>
      <x:c r="J42" s="22"/>
      <x:c r="K42" s="22"/>
      <x:c r="L42" s="22"/>
      <x:c r="M42" s="22"/>
      <x:c r="N42" s="28" t="n">
        <x:f>IFERROR(K42/J42,0)</x:f>
        <x:v>0</x:v>
      </x:c>
      <x:c r="O42" s="28" t="n">
        <x:f>IFERROR(M42/K42,0)</x:f>
        <x:v>0</x:v>
      </x:c>
      <x:c r="P42" s="22"/>
    </x:row>
    <x:row r="43">
      <x:c r="A43" s="22" t="str">
        <x:f>IF(B43="","","PRB-"&amp;TEXT(ROW()-2,"0000"))</x:f>
      </x:c>
      <x:c r="B43" s="22"/>
      <x:c r="C43" s="22"/>
      <x:c r="D43" s="22"/>
      <x:c r="E43" s="22"/>
      <x:c r="F43" s="26"/>
      <x:c r="G43" s="22"/>
      <x:c r="H43" s="22"/>
      <x:c r="I43" s="22"/>
      <x:c r="J43" s="22"/>
      <x:c r="K43" s="22"/>
      <x:c r="L43" s="22"/>
      <x:c r="M43" s="22"/>
      <x:c r="N43" s="28" t="n">
        <x:f>IFERROR(K43/J43,0)</x:f>
        <x:v>0</x:v>
      </x:c>
      <x:c r="O43" s="28" t="n">
        <x:f>IFERROR(M43/K43,0)</x:f>
        <x:v>0</x:v>
      </x:c>
      <x:c r="P43" s="22"/>
    </x:row>
    <x:row r="44">
      <x:c r="A44" s="22" t="str">
        <x:f>IF(B44="","","PRB-"&amp;TEXT(ROW()-2,"0000"))</x:f>
      </x:c>
      <x:c r="B44" s="22"/>
      <x:c r="C44" s="22"/>
      <x:c r="D44" s="22"/>
      <x:c r="E44" s="22"/>
      <x:c r="F44" s="26"/>
      <x:c r="G44" s="22"/>
      <x:c r="H44" s="22"/>
      <x:c r="I44" s="22"/>
      <x:c r="J44" s="22"/>
      <x:c r="K44" s="22"/>
      <x:c r="L44" s="22"/>
      <x:c r="M44" s="22"/>
      <x:c r="N44" s="28" t="n">
        <x:f>IFERROR(K44/J44,0)</x:f>
        <x:v>0</x:v>
      </x:c>
      <x:c r="O44" s="28" t="n">
        <x:f>IFERROR(M44/K44,0)</x:f>
        <x:v>0</x:v>
      </x:c>
      <x:c r="P44" s="22"/>
    </x:row>
    <x:row r="45">
      <x:c r="A45" s="22" t="str">
        <x:f>IF(B45="","","PRB-"&amp;TEXT(ROW()-2,"0000"))</x:f>
      </x:c>
      <x:c r="B45" s="22"/>
      <x:c r="C45" s="22"/>
      <x:c r="D45" s="22"/>
      <x:c r="E45" s="22"/>
      <x:c r="F45" s="26"/>
      <x:c r="G45" s="22"/>
      <x:c r="H45" s="22"/>
      <x:c r="I45" s="22"/>
      <x:c r="J45" s="22"/>
      <x:c r="K45" s="22"/>
      <x:c r="L45" s="22"/>
      <x:c r="M45" s="22"/>
      <x:c r="N45" s="28" t="n">
        <x:f>IFERROR(K45/J45,0)</x:f>
        <x:v>0</x:v>
      </x:c>
      <x:c r="O45" s="28" t="n">
        <x:f>IFERROR(M45/K45,0)</x:f>
        <x:v>0</x:v>
      </x:c>
      <x:c r="P45" s="22"/>
    </x:row>
    <x:row r="46">
      <x:c r="A46" s="22" t="str">
        <x:f>IF(B46="","","PRB-"&amp;TEXT(ROW()-2,"0000"))</x:f>
      </x:c>
      <x:c r="B46" s="22"/>
      <x:c r="C46" s="22"/>
      <x:c r="D46" s="22"/>
      <x:c r="E46" s="22"/>
      <x:c r="F46" s="26"/>
      <x:c r="G46" s="22"/>
      <x:c r="H46" s="22"/>
      <x:c r="I46" s="22"/>
      <x:c r="J46" s="22"/>
      <x:c r="K46" s="22"/>
      <x:c r="L46" s="22"/>
      <x:c r="M46" s="22"/>
      <x:c r="N46" s="28" t="n">
        <x:f>IFERROR(K46/J46,0)</x:f>
        <x:v>0</x:v>
      </x:c>
      <x:c r="O46" s="28" t="n">
        <x:f>IFERROR(M46/K46,0)</x:f>
        <x:v>0</x:v>
      </x:c>
      <x:c r="P46" s="22"/>
    </x:row>
    <x:row r="47">
      <x:c r="A47" s="22" t="str">
        <x:f>IF(B47="","","PRB-"&amp;TEXT(ROW()-2,"0000"))</x:f>
      </x:c>
      <x:c r="B47" s="22"/>
      <x:c r="C47" s="22"/>
      <x:c r="D47" s="22"/>
      <x:c r="E47" s="22"/>
      <x:c r="F47" s="26"/>
      <x:c r="G47" s="22"/>
      <x:c r="H47" s="22"/>
      <x:c r="I47" s="22"/>
      <x:c r="J47" s="22"/>
      <x:c r="K47" s="22"/>
      <x:c r="L47" s="22"/>
      <x:c r="M47" s="22"/>
      <x:c r="N47" s="28" t="n">
        <x:f>IFERROR(K47/J47,0)</x:f>
        <x:v>0</x:v>
      </x:c>
      <x:c r="O47" s="28" t="n">
        <x:f>IFERROR(M47/K47,0)</x:f>
        <x:v>0</x:v>
      </x:c>
      <x:c r="P47" s="22"/>
    </x:row>
    <x:row r="48">
      <x:c r="A48" s="22" t="str">
        <x:f>IF(B48="","","PRB-"&amp;TEXT(ROW()-2,"0000"))</x:f>
      </x:c>
      <x:c r="B48" s="22"/>
      <x:c r="C48" s="22"/>
      <x:c r="D48" s="22"/>
      <x:c r="E48" s="22"/>
      <x:c r="F48" s="26"/>
      <x:c r="G48" s="22"/>
      <x:c r="H48" s="22"/>
      <x:c r="I48" s="22"/>
      <x:c r="J48" s="22"/>
      <x:c r="K48" s="22"/>
      <x:c r="L48" s="22"/>
      <x:c r="M48" s="22"/>
      <x:c r="N48" s="28" t="n">
        <x:f>IFERROR(K48/J48,0)</x:f>
        <x:v>0</x:v>
      </x:c>
      <x:c r="O48" s="28" t="n">
        <x:f>IFERROR(M48/K48,0)</x:f>
        <x:v>0</x:v>
      </x:c>
      <x:c r="P48" s="22"/>
    </x:row>
    <x:row r="49">
      <x:c r="A49" s="22" t="str">
        <x:f>IF(B49="","","PRB-"&amp;TEXT(ROW()-2,"0000"))</x:f>
      </x:c>
      <x:c r="B49" s="22"/>
      <x:c r="C49" s="22"/>
      <x:c r="D49" s="22"/>
      <x:c r="E49" s="22"/>
      <x:c r="F49" s="26"/>
      <x:c r="G49" s="22"/>
      <x:c r="H49" s="22"/>
      <x:c r="I49" s="22"/>
      <x:c r="J49" s="22"/>
      <x:c r="K49" s="22"/>
      <x:c r="L49" s="22"/>
      <x:c r="M49" s="22"/>
      <x:c r="N49" s="28" t="n">
        <x:f>IFERROR(K49/J49,0)</x:f>
        <x:v>0</x:v>
      </x:c>
      <x:c r="O49" s="28" t="n">
        <x:f>IFERROR(M49/K49,0)</x:f>
        <x:v>0</x:v>
      </x:c>
      <x:c r="P49" s="22"/>
    </x:row>
    <x:row r="50">
      <x:c r="A50" s="22" t="str">
        <x:f>IF(B50="","","PRB-"&amp;TEXT(ROW()-2,"0000"))</x:f>
      </x:c>
      <x:c r="B50" s="22"/>
      <x:c r="C50" s="22"/>
      <x:c r="D50" s="22"/>
      <x:c r="E50" s="22"/>
      <x:c r="F50" s="26"/>
      <x:c r="G50" s="22"/>
      <x:c r="H50" s="22"/>
      <x:c r="I50" s="22"/>
      <x:c r="J50" s="22"/>
      <x:c r="K50" s="22"/>
      <x:c r="L50" s="22"/>
      <x:c r="M50" s="22"/>
      <x:c r="N50" s="28" t="n">
        <x:f>IFERROR(K50/J50,0)</x:f>
        <x:v>0</x:v>
      </x:c>
      <x:c r="O50" s="28" t="n">
        <x:f>IFERROR(M50/K50,0)</x:f>
        <x:v>0</x:v>
      </x:c>
      <x:c r="P50" s="22"/>
    </x:row>
    <x:row r="51">
      <x:c r="A51" s="22" t="str">
        <x:f>IF(B51="","","PRB-"&amp;TEXT(ROW()-2,"0000"))</x:f>
      </x:c>
      <x:c r="B51" s="22"/>
      <x:c r="C51" s="22"/>
      <x:c r="D51" s="22"/>
      <x:c r="E51" s="22"/>
      <x:c r="F51" s="26"/>
      <x:c r="G51" s="22"/>
      <x:c r="H51" s="22"/>
      <x:c r="I51" s="22"/>
      <x:c r="J51" s="22"/>
      <x:c r="K51" s="22"/>
      <x:c r="L51" s="22"/>
      <x:c r="M51" s="22"/>
      <x:c r="N51" s="28" t="n">
        <x:f>IFERROR(K51/J51,0)</x:f>
        <x:v>0</x:v>
      </x:c>
      <x:c r="O51" s="28" t="n">
        <x:f>IFERROR(M51/K51,0)</x:f>
        <x:v>0</x:v>
      </x:c>
      <x:c r="P51" s="22"/>
    </x:row>
    <x:row r="52">
      <x:c r="A52" s="22" t="str">
        <x:f>IF(B52="","","PRB-"&amp;TEXT(ROW()-2,"0000"))</x:f>
      </x:c>
      <x:c r="B52" s="22"/>
      <x:c r="C52" s="22"/>
      <x:c r="D52" s="22"/>
      <x:c r="E52" s="22"/>
      <x:c r="F52" s="26"/>
      <x:c r="G52" s="22"/>
      <x:c r="H52" s="22"/>
      <x:c r="I52" s="22"/>
      <x:c r="J52" s="22"/>
      <x:c r="K52" s="22"/>
      <x:c r="L52" s="22"/>
      <x:c r="M52" s="22"/>
      <x:c r="N52" s="28" t="n">
        <x:f>IFERROR(K52/J52,0)</x:f>
        <x:v>0</x:v>
      </x:c>
      <x:c r="O52" s="28" t="n">
        <x:f>IFERROR(M52/K52,0)</x:f>
        <x:v>0</x:v>
      </x:c>
      <x:c r="P52" s="22"/>
    </x:row>
    <x:row r="53">
      <x:c r="A53" s="22" t="str">
        <x:f>IF(B53="","","PRB-"&amp;TEXT(ROW()-2,"0000"))</x:f>
      </x:c>
      <x:c r="B53" s="22"/>
      <x:c r="C53" s="22"/>
      <x:c r="D53" s="22"/>
      <x:c r="E53" s="22"/>
      <x:c r="F53" s="26"/>
      <x:c r="G53" s="22"/>
      <x:c r="H53" s="22"/>
      <x:c r="I53" s="22"/>
      <x:c r="J53" s="22"/>
      <x:c r="K53" s="22"/>
      <x:c r="L53" s="22"/>
      <x:c r="M53" s="22"/>
      <x:c r="N53" s="28" t="n">
        <x:f>IFERROR(K53/J53,0)</x:f>
        <x:v>0</x:v>
      </x:c>
      <x:c r="O53" s="28" t="n">
        <x:f>IFERROR(M53/K53,0)</x:f>
        <x:v>0</x:v>
      </x:c>
      <x:c r="P53" s="22"/>
    </x:row>
    <x:row r="54">
      <x:c r="A54" s="22" t="str">
        <x:f>IF(B54="","","PRB-"&amp;TEXT(ROW()-2,"0000"))</x:f>
      </x:c>
      <x:c r="B54" s="22"/>
      <x:c r="C54" s="22"/>
      <x:c r="D54" s="22"/>
      <x:c r="E54" s="22"/>
      <x:c r="F54" s="26"/>
      <x:c r="G54" s="22"/>
      <x:c r="H54" s="22"/>
      <x:c r="I54" s="22"/>
      <x:c r="J54" s="22"/>
      <x:c r="K54" s="22"/>
      <x:c r="L54" s="22"/>
      <x:c r="M54" s="22"/>
      <x:c r="N54" s="28" t="n">
        <x:f>IFERROR(K54/J54,0)</x:f>
        <x:v>0</x:v>
      </x:c>
      <x:c r="O54" s="28" t="n">
        <x:f>IFERROR(M54/K54,0)</x:f>
        <x:v>0</x:v>
      </x:c>
      <x:c r="P54" s="22"/>
    </x:row>
    <x:row r="55">
      <x:c r="A55" s="22" t="str">
        <x:f>IF(B55="","","PRB-"&amp;TEXT(ROW()-2,"0000"))</x:f>
      </x:c>
      <x:c r="B55" s="22"/>
      <x:c r="C55" s="22"/>
      <x:c r="D55" s="22"/>
      <x:c r="E55" s="22"/>
      <x:c r="F55" s="26"/>
      <x:c r="G55" s="22"/>
      <x:c r="H55" s="22"/>
      <x:c r="I55" s="22"/>
      <x:c r="J55" s="22"/>
      <x:c r="K55" s="22"/>
      <x:c r="L55" s="22"/>
      <x:c r="M55" s="22"/>
      <x:c r="N55" s="28" t="n">
        <x:f>IFERROR(K55/J55,0)</x:f>
        <x:v>0</x:v>
      </x:c>
      <x:c r="O55" s="28" t="n">
        <x:f>IFERROR(M55/K55,0)</x:f>
        <x:v>0</x:v>
      </x:c>
      <x:c r="P55" s="22"/>
    </x:row>
    <x:row r="56">
      <x:c r="A56" s="22" t="str">
        <x:f>IF(B56="","","PRB-"&amp;TEXT(ROW()-2,"0000"))</x:f>
      </x:c>
      <x:c r="B56" s="22"/>
      <x:c r="C56" s="22"/>
      <x:c r="D56" s="22"/>
      <x:c r="E56" s="22"/>
      <x:c r="F56" s="26"/>
      <x:c r="G56" s="22"/>
      <x:c r="H56" s="22"/>
      <x:c r="I56" s="22"/>
      <x:c r="J56" s="22"/>
      <x:c r="K56" s="22"/>
      <x:c r="L56" s="22"/>
      <x:c r="M56" s="22"/>
      <x:c r="N56" s="28" t="n">
        <x:f>IFERROR(K56/J56,0)</x:f>
        <x:v>0</x:v>
      </x:c>
      <x:c r="O56" s="28" t="n">
        <x:f>IFERROR(M56/K56,0)</x:f>
        <x:v>0</x:v>
      </x:c>
      <x:c r="P56" s="22"/>
    </x:row>
    <x:row r="57">
      <x:c r="A57" s="22" t="str">
        <x:f>IF(B57="","","PRB-"&amp;TEXT(ROW()-2,"0000"))</x:f>
      </x:c>
      <x:c r="B57" s="22"/>
      <x:c r="C57" s="22"/>
      <x:c r="D57" s="22"/>
      <x:c r="E57" s="22"/>
      <x:c r="F57" s="26"/>
      <x:c r="G57" s="22"/>
      <x:c r="H57" s="22"/>
      <x:c r="I57" s="22"/>
      <x:c r="J57" s="22"/>
      <x:c r="K57" s="22"/>
      <x:c r="L57" s="22"/>
      <x:c r="M57" s="22"/>
      <x:c r="N57" s="28" t="n">
        <x:f>IFERROR(K57/J57,0)</x:f>
        <x:v>0</x:v>
      </x:c>
      <x:c r="O57" s="28" t="n">
        <x:f>IFERROR(M57/K57,0)</x:f>
        <x:v>0</x:v>
      </x:c>
      <x:c r="P57" s="22"/>
    </x:row>
    <x:row r="58">
      <x:c r="A58" s="22" t="str">
        <x:f>IF(B58="","","PRB-"&amp;TEXT(ROW()-2,"0000"))</x:f>
      </x:c>
      <x:c r="B58" s="22"/>
      <x:c r="C58" s="22"/>
      <x:c r="D58" s="22"/>
      <x:c r="E58" s="22"/>
      <x:c r="F58" s="26"/>
      <x:c r="G58" s="22"/>
      <x:c r="H58" s="22"/>
      <x:c r="I58" s="22"/>
      <x:c r="J58" s="22"/>
      <x:c r="K58" s="22"/>
      <x:c r="L58" s="22"/>
      <x:c r="M58" s="22"/>
      <x:c r="N58" s="28" t="n">
        <x:f>IFERROR(K58/J58,0)</x:f>
        <x:v>0</x:v>
      </x:c>
      <x:c r="O58" s="28" t="n">
        <x:f>IFERROR(M58/K58,0)</x:f>
        <x:v>0</x:v>
      </x:c>
      <x:c r="P58" s="22"/>
    </x:row>
    <x:row r="59">
      <x:c r="A59" s="22" t="str">
        <x:f>IF(B59="","","PRB-"&amp;TEXT(ROW()-2,"0000"))</x:f>
      </x:c>
      <x:c r="B59" s="22"/>
      <x:c r="C59" s="22"/>
      <x:c r="D59" s="22"/>
      <x:c r="E59" s="22"/>
      <x:c r="F59" s="26"/>
      <x:c r="G59" s="22"/>
      <x:c r="H59" s="22"/>
      <x:c r="I59" s="22"/>
      <x:c r="J59" s="22"/>
      <x:c r="K59" s="22"/>
      <x:c r="L59" s="22"/>
      <x:c r="M59" s="22"/>
      <x:c r="N59" s="28" t="n">
        <x:f>IFERROR(K59/J59,0)</x:f>
        <x:v>0</x:v>
      </x:c>
      <x:c r="O59" s="28" t="n">
        <x:f>IFERROR(M59/K59,0)</x:f>
        <x:v>0</x:v>
      </x:c>
      <x:c r="P59" s="22"/>
    </x:row>
    <x:row r="60">
      <x:c r="A60" s="22" t="str">
        <x:f>IF(B60="","","PRB-"&amp;TEXT(ROW()-2,"0000"))</x:f>
      </x:c>
      <x:c r="B60" s="22"/>
      <x:c r="C60" s="22"/>
      <x:c r="D60" s="22"/>
      <x:c r="E60" s="22"/>
      <x:c r="F60" s="26"/>
      <x:c r="G60" s="22"/>
      <x:c r="H60" s="22"/>
      <x:c r="I60" s="22"/>
      <x:c r="J60" s="22"/>
      <x:c r="K60" s="22"/>
      <x:c r="L60" s="22"/>
      <x:c r="M60" s="22"/>
      <x:c r="N60" s="28" t="n">
        <x:f>IFERROR(K60/J60,0)</x:f>
        <x:v>0</x:v>
      </x:c>
      <x:c r="O60" s="28" t="n">
        <x:f>IFERROR(M60/K60,0)</x:f>
        <x:v>0</x:v>
      </x:c>
      <x:c r="P60" s="22"/>
    </x:row>
    <x:row r="61">
      <x:c r="A61" s="22" t="str">
        <x:f>IF(B61="","","PRB-"&amp;TEXT(ROW()-2,"0000"))</x:f>
      </x:c>
      <x:c r="B61" s="22"/>
      <x:c r="C61" s="22"/>
      <x:c r="D61" s="22"/>
      <x:c r="E61" s="22"/>
      <x:c r="F61" s="26"/>
      <x:c r="G61" s="22"/>
      <x:c r="H61" s="22"/>
      <x:c r="I61" s="22"/>
      <x:c r="J61" s="22"/>
      <x:c r="K61" s="22"/>
      <x:c r="L61" s="22"/>
      <x:c r="M61" s="22"/>
      <x:c r="N61" s="28" t="n">
        <x:f>IFERROR(K61/J61,0)</x:f>
        <x:v>0</x:v>
      </x:c>
      <x:c r="O61" s="28" t="n">
        <x:f>IFERROR(M61/K61,0)</x:f>
        <x:v>0</x:v>
      </x:c>
      <x:c r="P61" s="22"/>
    </x:row>
    <x:row r="62">
      <x:c r="A62" s="22" t="str">
        <x:f>IF(B62="","","PRB-"&amp;TEXT(ROW()-2,"0000"))</x:f>
      </x:c>
      <x:c r="B62" s="22"/>
      <x:c r="C62" s="22"/>
      <x:c r="D62" s="22"/>
      <x:c r="E62" s="22"/>
      <x:c r="F62" s="26"/>
      <x:c r="G62" s="22"/>
      <x:c r="H62" s="22"/>
      <x:c r="I62" s="22"/>
      <x:c r="J62" s="22"/>
      <x:c r="K62" s="22"/>
      <x:c r="L62" s="22"/>
      <x:c r="M62" s="22"/>
      <x:c r="N62" s="28" t="n">
        <x:f>IFERROR(K62/J62,0)</x:f>
        <x:v>0</x:v>
      </x:c>
      <x:c r="O62" s="28" t="n">
        <x:f>IFERROR(M62/K62,0)</x:f>
        <x:v>0</x:v>
      </x:c>
      <x:c r="P62" s="22"/>
    </x:row>
    <x:row r="63">
      <x:c r="A63" s="22" t="str">
        <x:f>IF(B63="","","PRB-"&amp;TEXT(ROW()-2,"0000"))</x:f>
      </x:c>
      <x:c r="B63" s="22"/>
      <x:c r="C63" s="22"/>
      <x:c r="D63" s="22"/>
      <x:c r="E63" s="22"/>
      <x:c r="F63" s="26"/>
      <x:c r="G63" s="22"/>
      <x:c r="H63" s="22"/>
      <x:c r="I63" s="22"/>
      <x:c r="J63" s="22"/>
      <x:c r="K63" s="22"/>
      <x:c r="L63" s="22"/>
      <x:c r="M63" s="22"/>
      <x:c r="N63" s="28" t="n">
        <x:f>IFERROR(K63/J63,0)</x:f>
        <x:v>0</x:v>
      </x:c>
      <x:c r="O63" s="28" t="n">
        <x:f>IFERROR(M63/K63,0)</x:f>
        <x:v>0</x:v>
      </x:c>
      <x:c r="P63" s="22"/>
    </x:row>
    <x:row r="64">
      <x:c r="A64" s="22" t="str">
        <x:f>IF(B64="","","PRB-"&amp;TEXT(ROW()-2,"0000"))</x:f>
      </x:c>
      <x:c r="B64" s="22"/>
      <x:c r="C64" s="22"/>
      <x:c r="D64" s="22"/>
      <x:c r="E64" s="22"/>
      <x:c r="F64" s="26"/>
      <x:c r="G64" s="22"/>
      <x:c r="H64" s="22"/>
      <x:c r="I64" s="22"/>
      <x:c r="J64" s="22"/>
      <x:c r="K64" s="22"/>
      <x:c r="L64" s="22"/>
      <x:c r="M64" s="22"/>
      <x:c r="N64" s="28" t="n">
        <x:f>IFERROR(K64/J64,0)</x:f>
        <x:v>0</x:v>
      </x:c>
      <x:c r="O64" s="28" t="n">
        <x:f>IFERROR(M64/K64,0)</x:f>
        <x:v>0</x:v>
      </x:c>
      <x:c r="P64" s="22"/>
    </x:row>
    <x:row r="65">
      <x:c r="A65" s="22" t="str">
        <x:f>IF(B65="","","PRB-"&amp;TEXT(ROW()-2,"0000"))</x:f>
      </x:c>
      <x:c r="B65" s="22"/>
      <x:c r="C65" s="22"/>
      <x:c r="D65" s="22"/>
      <x:c r="E65" s="22"/>
      <x:c r="F65" s="26"/>
      <x:c r="G65" s="22"/>
      <x:c r="H65" s="22"/>
      <x:c r="I65" s="22"/>
      <x:c r="J65" s="22"/>
      <x:c r="K65" s="22"/>
      <x:c r="L65" s="22"/>
      <x:c r="M65" s="22"/>
      <x:c r="N65" s="28" t="n">
        <x:f>IFERROR(K65/J65,0)</x:f>
        <x:v>0</x:v>
      </x:c>
      <x:c r="O65" s="28" t="n">
        <x:f>IFERROR(M65/K65,0)</x:f>
        <x:v>0</x:v>
      </x:c>
      <x:c r="P65" s="22"/>
    </x:row>
    <x:row r="66">
      <x:c r="A66" s="22" t="str">
        <x:f>IF(B66="","","PRB-"&amp;TEXT(ROW()-2,"0000"))</x:f>
      </x:c>
      <x:c r="B66" s="22"/>
      <x:c r="C66" s="22"/>
      <x:c r="D66" s="22"/>
      <x:c r="E66" s="22"/>
      <x:c r="F66" s="26"/>
      <x:c r="G66" s="22"/>
      <x:c r="H66" s="22"/>
      <x:c r="I66" s="22"/>
      <x:c r="J66" s="22"/>
      <x:c r="K66" s="22"/>
      <x:c r="L66" s="22"/>
      <x:c r="M66" s="22"/>
      <x:c r="N66" s="28" t="n">
        <x:f>IFERROR(K66/J66,0)</x:f>
        <x:v>0</x:v>
      </x:c>
      <x:c r="O66" s="28" t="n">
        <x:f>IFERROR(M66/K66,0)</x:f>
        <x:v>0</x:v>
      </x:c>
      <x:c r="P66" s="22"/>
    </x:row>
    <x:row r="67">
      <x:c r="A67" s="22" t="str">
        <x:f>IF(B67="","","PRB-"&amp;TEXT(ROW()-2,"0000"))</x:f>
      </x:c>
      <x:c r="B67" s="22"/>
      <x:c r="C67" s="22"/>
      <x:c r="D67" s="22"/>
      <x:c r="E67" s="22"/>
      <x:c r="F67" s="26"/>
      <x:c r="G67" s="22"/>
      <x:c r="H67" s="22"/>
      <x:c r="I67" s="22"/>
      <x:c r="J67" s="22"/>
      <x:c r="K67" s="22"/>
      <x:c r="L67" s="22"/>
      <x:c r="M67" s="22"/>
      <x:c r="N67" s="28" t="n">
        <x:f>IFERROR(K67/J67,0)</x:f>
        <x:v>0</x:v>
      </x:c>
      <x:c r="O67" s="28" t="n">
        <x:f>IFERROR(M67/K67,0)</x:f>
        <x:v>0</x:v>
      </x:c>
      <x:c r="P67" s="22"/>
    </x:row>
    <x:row r="68">
      <x:c r="A68" s="22" t="str">
        <x:f>IF(B68="","","PRB-"&amp;TEXT(ROW()-2,"0000"))</x:f>
      </x:c>
      <x:c r="B68" s="22"/>
      <x:c r="C68" s="22"/>
      <x:c r="D68" s="22"/>
      <x:c r="E68" s="22"/>
      <x:c r="F68" s="26"/>
      <x:c r="G68" s="22"/>
      <x:c r="H68" s="22"/>
      <x:c r="I68" s="22"/>
      <x:c r="J68" s="22"/>
      <x:c r="K68" s="22"/>
      <x:c r="L68" s="22"/>
      <x:c r="M68" s="22"/>
      <x:c r="N68" s="28" t="n">
        <x:f>IFERROR(K68/J68,0)</x:f>
        <x:v>0</x:v>
      </x:c>
      <x:c r="O68" s="28" t="n">
        <x:f>IFERROR(M68/K68,0)</x:f>
        <x:v>0</x:v>
      </x:c>
      <x:c r="P68" s="22"/>
    </x:row>
    <x:row r="69">
      <x:c r="A69" s="22" t="str">
        <x:f>IF(B69="","","PRB-"&amp;TEXT(ROW()-2,"0000"))</x:f>
      </x:c>
      <x:c r="B69" s="22"/>
      <x:c r="C69" s="22"/>
      <x:c r="D69" s="22"/>
      <x:c r="E69" s="22"/>
      <x:c r="F69" s="26"/>
      <x:c r="G69" s="22"/>
      <x:c r="H69" s="22"/>
      <x:c r="I69" s="22"/>
      <x:c r="J69" s="22"/>
      <x:c r="K69" s="22"/>
      <x:c r="L69" s="22"/>
      <x:c r="M69" s="22"/>
      <x:c r="N69" s="28" t="n">
        <x:f>IFERROR(K69/J69,0)</x:f>
        <x:v>0</x:v>
      </x:c>
      <x:c r="O69" s="28" t="n">
        <x:f>IFERROR(M69/K69,0)</x:f>
        <x:v>0</x:v>
      </x:c>
      <x:c r="P69" s="22"/>
    </x:row>
    <x:row r="70">
      <x:c r="A70" s="22" t="str">
        <x:f>IF(B70="","","PRB-"&amp;TEXT(ROW()-2,"0000"))</x:f>
      </x:c>
      <x:c r="B70" s="22"/>
      <x:c r="C70" s="22"/>
      <x:c r="D70" s="22"/>
      <x:c r="E70" s="22"/>
      <x:c r="F70" s="26"/>
      <x:c r="G70" s="22"/>
      <x:c r="H70" s="22"/>
      <x:c r="I70" s="22"/>
      <x:c r="J70" s="22"/>
      <x:c r="K70" s="22"/>
      <x:c r="L70" s="22"/>
      <x:c r="M70" s="22"/>
      <x:c r="N70" s="28" t="n">
        <x:f>IFERROR(K70/J70,0)</x:f>
        <x:v>0</x:v>
      </x:c>
      <x:c r="O70" s="28" t="n">
        <x:f>IFERROR(M70/K70,0)</x:f>
        <x:v>0</x:v>
      </x:c>
      <x:c r="P70" s="22"/>
    </x:row>
    <x:row r="71">
      <x:c r="A71" s="22" t="str">
        <x:f>IF(B71="","","PRB-"&amp;TEXT(ROW()-2,"0000"))</x:f>
      </x:c>
      <x:c r="B71" s="22"/>
      <x:c r="C71" s="22"/>
      <x:c r="D71" s="22"/>
      <x:c r="E71" s="22"/>
      <x:c r="F71" s="26"/>
      <x:c r="G71" s="22"/>
      <x:c r="H71" s="22"/>
      <x:c r="I71" s="22"/>
      <x:c r="J71" s="22"/>
      <x:c r="K71" s="22"/>
      <x:c r="L71" s="22"/>
      <x:c r="M71" s="22"/>
      <x:c r="N71" s="28" t="n">
        <x:f>IFERROR(K71/J71,0)</x:f>
        <x:v>0</x:v>
      </x:c>
      <x:c r="O71" s="28" t="n">
        <x:f>IFERROR(M71/K71,0)</x:f>
        <x:v>0</x:v>
      </x:c>
      <x:c r="P71" s="22"/>
    </x:row>
    <x:row r="72">
      <x:c r="A72" s="22" t="str">
        <x:f>IF(B72="","","PRB-"&amp;TEXT(ROW()-2,"0000"))</x:f>
      </x:c>
      <x:c r="B72" s="22"/>
      <x:c r="C72" s="22"/>
      <x:c r="D72" s="22"/>
      <x:c r="E72" s="22"/>
      <x:c r="F72" s="26"/>
      <x:c r="G72" s="22"/>
      <x:c r="H72" s="22"/>
      <x:c r="I72" s="22"/>
      <x:c r="J72" s="22"/>
      <x:c r="K72" s="22"/>
      <x:c r="L72" s="22"/>
      <x:c r="M72" s="22"/>
      <x:c r="N72" s="28" t="n">
        <x:f>IFERROR(K72/J72,0)</x:f>
        <x:v>0</x:v>
      </x:c>
      <x:c r="O72" s="28" t="n">
        <x:f>IFERROR(M72/K72,0)</x:f>
        <x:v>0</x:v>
      </x:c>
      <x:c r="P72" s="22"/>
    </x:row>
    <x:row r="73">
      <x:c r="A73" s="22" t="str">
        <x:f>IF(B73="","","PRB-"&amp;TEXT(ROW()-2,"0000"))</x:f>
      </x:c>
      <x:c r="B73" s="22"/>
      <x:c r="C73" s="22"/>
      <x:c r="D73" s="22"/>
      <x:c r="E73" s="22"/>
      <x:c r="F73" s="26"/>
      <x:c r="G73" s="22"/>
      <x:c r="H73" s="22"/>
      <x:c r="I73" s="22"/>
      <x:c r="J73" s="22"/>
      <x:c r="K73" s="22"/>
      <x:c r="L73" s="22"/>
      <x:c r="M73" s="22"/>
      <x:c r="N73" s="28" t="n">
        <x:f>IFERROR(K73/J73,0)</x:f>
        <x:v>0</x:v>
      </x:c>
      <x:c r="O73" s="28" t="n">
        <x:f>IFERROR(M73/K73,0)</x:f>
        <x:v>0</x:v>
      </x:c>
      <x:c r="P73" s="22"/>
    </x:row>
    <x:row r="74">
      <x:c r="A74" s="22" t="str">
        <x:f>IF(B74="","","PRB-"&amp;TEXT(ROW()-2,"0000"))</x:f>
      </x:c>
      <x:c r="B74" s="22"/>
      <x:c r="C74" s="22"/>
      <x:c r="D74" s="22"/>
      <x:c r="E74" s="22"/>
      <x:c r="F74" s="26"/>
      <x:c r="G74" s="22"/>
      <x:c r="H74" s="22"/>
      <x:c r="I74" s="22"/>
      <x:c r="J74" s="22"/>
      <x:c r="K74" s="22"/>
      <x:c r="L74" s="22"/>
      <x:c r="M74" s="22"/>
      <x:c r="N74" s="28" t="n">
        <x:f>IFERROR(K74/J74,0)</x:f>
        <x:v>0</x:v>
      </x:c>
      <x:c r="O74" s="28" t="n">
        <x:f>IFERROR(M74/K74,0)</x:f>
        <x:v>0</x:v>
      </x:c>
      <x:c r="P74" s="22"/>
    </x:row>
    <x:row r="75">
      <x:c r="A75" s="22" t="str">
        <x:f>IF(B75="","","PRB-"&amp;TEXT(ROW()-2,"0000"))</x:f>
      </x:c>
      <x:c r="B75" s="22"/>
      <x:c r="C75" s="22"/>
      <x:c r="D75" s="22"/>
      <x:c r="E75" s="22"/>
      <x:c r="F75" s="26"/>
      <x:c r="G75" s="22"/>
      <x:c r="H75" s="22"/>
      <x:c r="I75" s="22"/>
      <x:c r="J75" s="22"/>
      <x:c r="K75" s="22"/>
      <x:c r="L75" s="22"/>
      <x:c r="M75" s="22"/>
      <x:c r="N75" s="28" t="n">
        <x:f>IFERROR(K75/J75,0)</x:f>
        <x:v>0</x:v>
      </x:c>
      <x:c r="O75" s="28" t="n">
        <x:f>IFERROR(M75/K75,0)</x:f>
        <x:v>0</x:v>
      </x:c>
      <x:c r="P75" s="22"/>
    </x:row>
    <x:row r="76">
      <x:c r="A76" s="22" t="str">
        <x:f>IF(B76="","","PRB-"&amp;TEXT(ROW()-2,"0000"))</x:f>
      </x:c>
      <x:c r="B76" s="22"/>
      <x:c r="C76" s="22"/>
      <x:c r="D76" s="22"/>
      <x:c r="E76" s="22"/>
      <x:c r="F76" s="26"/>
      <x:c r="G76" s="22"/>
      <x:c r="H76" s="22"/>
      <x:c r="I76" s="22"/>
      <x:c r="J76" s="22"/>
      <x:c r="K76" s="22"/>
      <x:c r="L76" s="22"/>
      <x:c r="M76" s="22"/>
      <x:c r="N76" s="28" t="n">
        <x:f>IFERROR(K76/J76,0)</x:f>
        <x:v>0</x:v>
      </x:c>
      <x:c r="O76" s="28" t="n">
        <x:f>IFERROR(M76/K76,0)</x:f>
        <x:v>0</x:v>
      </x:c>
      <x:c r="P76" s="22"/>
    </x:row>
    <x:row r="77">
      <x:c r="A77" s="22" t="str">
        <x:f>IF(B77="","","PRB-"&amp;TEXT(ROW()-2,"0000"))</x:f>
      </x:c>
      <x:c r="B77" s="22"/>
      <x:c r="C77" s="22"/>
      <x:c r="D77" s="22"/>
      <x:c r="E77" s="22"/>
      <x:c r="F77" s="26"/>
      <x:c r="G77" s="22"/>
      <x:c r="H77" s="22"/>
      <x:c r="I77" s="22"/>
      <x:c r="J77" s="22"/>
      <x:c r="K77" s="22"/>
      <x:c r="L77" s="22"/>
      <x:c r="M77" s="22"/>
      <x:c r="N77" s="28" t="n">
        <x:f>IFERROR(K77/J77,0)</x:f>
        <x:v>0</x:v>
      </x:c>
      <x:c r="O77" s="28" t="n">
        <x:f>IFERROR(M77/K77,0)</x:f>
        <x:v>0</x:v>
      </x:c>
      <x:c r="P77" s="22"/>
    </x:row>
    <x:row r="78">
      <x:c r="A78" s="22" t="str">
        <x:f>IF(B78="","","PRB-"&amp;TEXT(ROW()-2,"0000"))</x:f>
      </x:c>
      <x:c r="B78" s="22"/>
      <x:c r="C78" s="22"/>
      <x:c r="D78" s="22"/>
      <x:c r="E78" s="22"/>
      <x:c r="F78" s="26"/>
      <x:c r="G78" s="22"/>
      <x:c r="H78" s="22"/>
      <x:c r="I78" s="22"/>
      <x:c r="J78" s="22"/>
      <x:c r="K78" s="22"/>
      <x:c r="L78" s="22"/>
      <x:c r="M78" s="22"/>
      <x:c r="N78" s="28" t="n">
        <x:f>IFERROR(K78/J78,0)</x:f>
        <x:v>0</x:v>
      </x:c>
      <x:c r="O78" s="28" t="n">
        <x:f>IFERROR(M78/K78,0)</x:f>
        <x:v>0</x:v>
      </x:c>
      <x:c r="P78" s="22"/>
    </x:row>
    <x:row r="79">
      <x:c r="A79" s="22" t="str">
        <x:f>IF(B79="","","PRB-"&amp;TEXT(ROW()-2,"0000"))</x:f>
      </x:c>
      <x:c r="B79" s="22"/>
      <x:c r="C79" s="22"/>
      <x:c r="D79" s="22"/>
      <x:c r="E79" s="22"/>
      <x:c r="F79" s="26"/>
      <x:c r="G79" s="22"/>
      <x:c r="H79" s="22"/>
      <x:c r="I79" s="22"/>
      <x:c r="J79" s="22"/>
      <x:c r="K79" s="22"/>
      <x:c r="L79" s="22"/>
      <x:c r="M79" s="22"/>
      <x:c r="N79" s="28" t="n">
        <x:f>IFERROR(K79/J79,0)</x:f>
        <x:v>0</x:v>
      </x:c>
      <x:c r="O79" s="28" t="n">
        <x:f>IFERROR(M79/K79,0)</x:f>
        <x:v>0</x:v>
      </x:c>
      <x:c r="P79" s="22"/>
    </x:row>
    <x:row r="80">
      <x:c r="A80" s="22" t="str">
        <x:f>IF(B80="","","PRB-"&amp;TEXT(ROW()-2,"0000"))</x:f>
      </x:c>
      <x:c r="B80" s="22"/>
      <x:c r="C80" s="22"/>
      <x:c r="D80" s="22"/>
      <x:c r="E80" s="22"/>
      <x:c r="F80" s="26"/>
      <x:c r="G80" s="22"/>
      <x:c r="H80" s="22"/>
      <x:c r="I80" s="22"/>
      <x:c r="J80" s="22"/>
      <x:c r="K80" s="22"/>
      <x:c r="L80" s="22"/>
      <x:c r="M80" s="22"/>
      <x:c r="N80" s="28" t="n">
        <x:f>IFERROR(K80/J80,0)</x:f>
        <x:v>0</x:v>
      </x:c>
      <x:c r="O80" s="28" t="n">
        <x:f>IFERROR(M80/K80,0)</x:f>
        <x:v>0</x:v>
      </x:c>
      <x:c r="P80" s="22"/>
    </x:row>
    <x:row r="81">
      <x:c r="A81" s="22" t="str">
        <x:f>IF(B81="","","PRB-"&amp;TEXT(ROW()-2,"0000"))</x:f>
      </x:c>
      <x:c r="B81" s="22"/>
      <x:c r="C81" s="22"/>
      <x:c r="D81" s="22"/>
      <x:c r="E81" s="22"/>
      <x:c r="F81" s="26"/>
      <x:c r="G81" s="22"/>
      <x:c r="H81" s="22"/>
      <x:c r="I81" s="22"/>
      <x:c r="J81" s="22"/>
      <x:c r="K81" s="22"/>
      <x:c r="L81" s="22"/>
      <x:c r="M81" s="22"/>
      <x:c r="N81" s="28" t="n">
        <x:f>IFERROR(K81/J81,0)</x:f>
        <x:v>0</x:v>
      </x:c>
      <x:c r="O81" s="28" t="n">
        <x:f>IFERROR(M81/K81,0)</x:f>
        <x:v>0</x:v>
      </x:c>
      <x:c r="P81" s="22"/>
    </x:row>
    <x:row r="82">
      <x:c r="A82" s="22" t="str">
        <x:f>IF(B82="","","PRB-"&amp;TEXT(ROW()-2,"0000"))</x:f>
      </x:c>
      <x:c r="B82" s="22"/>
      <x:c r="C82" s="22"/>
      <x:c r="D82" s="22"/>
      <x:c r="E82" s="22"/>
      <x:c r="F82" s="26"/>
      <x:c r="G82" s="22"/>
      <x:c r="H82" s="22"/>
      <x:c r="I82" s="22"/>
      <x:c r="J82" s="22"/>
      <x:c r="K82" s="22"/>
      <x:c r="L82" s="22"/>
      <x:c r="M82" s="22"/>
      <x:c r="N82" s="28" t="n">
        <x:f>IFERROR(K82/J82,0)</x:f>
        <x:v>0</x:v>
      </x:c>
      <x:c r="O82" s="28" t="n">
        <x:f>IFERROR(M82/K82,0)</x:f>
        <x:v>0</x:v>
      </x:c>
      <x:c r="P82" s="22"/>
    </x:row>
    <x:row r="83">
      <x:c r="A83" s="22" t="str">
        <x:f>IF(B83="","","PRB-"&amp;TEXT(ROW()-2,"0000"))</x:f>
      </x:c>
      <x:c r="B83" s="22"/>
      <x:c r="C83" s="22"/>
      <x:c r="D83" s="22"/>
      <x:c r="E83" s="22"/>
      <x:c r="F83" s="26"/>
      <x:c r="G83" s="22"/>
      <x:c r="H83" s="22"/>
      <x:c r="I83" s="22"/>
      <x:c r="J83" s="22"/>
      <x:c r="K83" s="22"/>
      <x:c r="L83" s="22"/>
      <x:c r="M83" s="22"/>
      <x:c r="N83" s="28" t="n">
        <x:f>IFERROR(K83/J83,0)</x:f>
        <x:v>0</x:v>
      </x:c>
      <x:c r="O83" s="28" t="n">
        <x:f>IFERROR(M83/K83,0)</x:f>
        <x:v>0</x:v>
      </x:c>
      <x:c r="P83" s="22"/>
    </x:row>
    <x:row r="84">
      <x:c r="A84" s="22" t="str">
        <x:f>IF(B84="","","PRB-"&amp;TEXT(ROW()-2,"0000"))</x:f>
      </x:c>
      <x:c r="B84" s="22"/>
      <x:c r="C84" s="22"/>
      <x:c r="D84" s="22"/>
      <x:c r="E84" s="22"/>
      <x:c r="F84" s="26"/>
      <x:c r="G84" s="22"/>
      <x:c r="H84" s="22"/>
      <x:c r="I84" s="22"/>
      <x:c r="J84" s="22"/>
      <x:c r="K84" s="22"/>
      <x:c r="L84" s="22"/>
      <x:c r="M84" s="22"/>
      <x:c r="N84" s="28" t="n">
        <x:f>IFERROR(K84/J84,0)</x:f>
        <x:v>0</x:v>
      </x:c>
      <x:c r="O84" s="28" t="n">
        <x:f>IFERROR(M84/K84,0)</x:f>
        <x:v>0</x:v>
      </x:c>
      <x:c r="P84" s="22"/>
    </x:row>
    <x:row r="85">
      <x:c r="A85" s="22" t="str">
        <x:f>IF(B85="","","PRB-"&amp;TEXT(ROW()-2,"0000"))</x:f>
      </x:c>
      <x:c r="B85" s="22"/>
      <x:c r="C85" s="22"/>
      <x:c r="D85" s="22"/>
      <x:c r="E85" s="22"/>
      <x:c r="F85" s="26"/>
      <x:c r="G85" s="22"/>
      <x:c r="H85" s="22"/>
      <x:c r="I85" s="22"/>
      <x:c r="J85" s="22"/>
      <x:c r="K85" s="22"/>
      <x:c r="L85" s="22"/>
      <x:c r="M85" s="22"/>
      <x:c r="N85" s="28" t="n">
        <x:f>IFERROR(K85/J85,0)</x:f>
        <x:v>0</x:v>
      </x:c>
      <x:c r="O85" s="28" t="n">
        <x:f>IFERROR(M85/K85,0)</x:f>
        <x:v>0</x:v>
      </x:c>
      <x:c r="P85" s="22"/>
    </x:row>
    <x:row r="86">
      <x:c r="A86" s="22" t="str">
        <x:f>IF(B86="","","PRB-"&amp;TEXT(ROW()-2,"0000"))</x:f>
      </x:c>
      <x:c r="B86" s="22"/>
      <x:c r="C86" s="22"/>
      <x:c r="D86" s="22"/>
      <x:c r="E86" s="22"/>
      <x:c r="F86" s="26"/>
      <x:c r="G86" s="22"/>
      <x:c r="H86" s="22"/>
      <x:c r="I86" s="22"/>
      <x:c r="J86" s="22"/>
      <x:c r="K86" s="22"/>
      <x:c r="L86" s="22"/>
      <x:c r="M86" s="22"/>
      <x:c r="N86" s="28" t="n">
        <x:f>IFERROR(K86/J86,0)</x:f>
        <x:v>0</x:v>
      </x:c>
      <x:c r="O86" s="28" t="n">
        <x:f>IFERROR(M86/K86,0)</x:f>
        <x:v>0</x:v>
      </x:c>
      <x:c r="P86" s="22"/>
    </x:row>
    <x:row r="87">
      <x:c r="A87" s="22" t="str">
        <x:f>IF(B87="","","PRB-"&amp;TEXT(ROW()-2,"0000"))</x:f>
      </x:c>
      <x:c r="B87" s="22"/>
      <x:c r="C87" s="22"/>
      <x:c r="D87" s="22"/>
      <x:c r="E87" s="22"/>
      <x:c r="F87" s="26"/>
      <x:c r="G87" s="22"/>
      <x:c r="H87" s="22"/>
      <x:c r="I87" s="22"/>
      <x:c r="J87" s="22"/>
      <x:c r="K87" s="22"/>
      <x:c r="L87" s="22"/>
      <x:c r="M87" s="22"/>
      <x:c r="N87" s="28" t="n">
        <x:f>IFERROR(K87/J87,0)</x:f>
        <x:v>0</x:v>
      </x:c>
      <x:c r="O87" s="28" t="n">
        <x:f>IFERROR(M87/K87,0)</x:f>
        <x:v>0</x:v>
      </x:c>
      <x:c r="P87" s="22"/>
    </x:row>
    <x:row r="88">
      <x:c r="A88" s="22" t="str">
        <x:f>IF(B88="","","PRB-"&amp;TEXT(ROW()-2,"0000"))</x:f>
      </x:c>
      <x:c r="B88" s="22"/>
      <x:c r="C88" s="22"/>
      <x:c r="D88" s="22"/>
      <x:c r="E88" s="22"/>
      <x:c r="F88" s="26"/>
      <x:c r="G88" s="22"/>
      <x:c r="H88" s="22"/>
      <x:c r="I88" s="22"/>
      <x:c r="J88" s="22"/>
      <x:c r="K88" s="22"/>
      <x:c r="L88" s="22"/>
      <x:c r="M88" s="22"/>
      <x:c r="N88" s="28" t="n">
        <x:f>IFERROR(K88/J88,0)</x:f>
        <x:v>0</x:v>
      </x:c>
      <x:c r="O88" s="28" t="n">
        <x:f>IFERROR(M88/K88,0)</x:f>
        <x:v>0</x:v>
      </x:c>
      <x:c r="P88" s="22"/>
    </x:row>
    <x:row r="89">
      <x:c r="A89" s="22" t="str">
        <x:f>IF(B89="","","PRB-"&amp;TEXT(ROW()-2,"0000"))</x:f>
      </x:c>
      <x:c r="B89" s="22"/>
      <x:c r="C89" s="22"/>
      <x:c r="D89" s="22"/>
      <x:c r="E89" s="22"/>
      <x:c r="F89" s="26"/>
      <x:c r="G89" s="22"/>
      <x:c r="H89" s="22"/>
      <x:c r="I89" s="22"/>
      <x:c r="J89" s="22"/>
      <x:c r="K89" s="22"/>
      <x:c r="L89" s="22"/>
      <x:c r="M89" s="22"/>
      <x:c r="N89" s="28" t="n">
        <x:f>IFERROR(K89/J89,0)</x:f>
        <x:v>0</x:v>
      </x:c>
      <x:c r="O89" s="28" t="n">
        <x:f>IFERROR(M89/K89,0)</x:f>
        <x:v>0</x:v>
      </x:c>
      <x:c r="P89" s="22"/>
    </x:row>
    <x:row r="90">
      <x:c r="A90" s="22" t="str">
        <x:f>IF(B90="","","PRB-"&amp;TEXT(ROW()-2,"0000"))</x:f>
      </x:c>
      <x:c r="B90" s="22"/>
      <x:c r="C90" s="22"/>
      <x:c r="D90" s="22"/>
      <x:c r="E90" s="22"/>
      <x:c r="F90" s="26"/>
      <x:c r="G90" s="22"/>
      <x:c r="H90" s="22"/>
      <x:c r="I90" s="22"/>
      <x:c r="J90" s="22"/>
      <x:c r="K90" s="22"/>
      <x:c r="L90" s="22"/>
      <x:c r="M90" s="22"/>
      <x:c r="N90" s="28" t="n">
        <x:f>IFERROR(K90/J90,0)</x:f>
        <x:v>0</x:v>
      </x:c>
      <x:c r="O90" s="28" t="n">
        <x:f>IFERROR(M90/K90,0)</x:f>
        <x:v>0</x:v>
      </x:c>
      <x:c r="P90" s="22"/>
    </x:row>
    <x:row r="91">
      <x:c r="A91" s="22" t="str">
        <x:f>IF(B91="","","PRB-"&amp;TEXT(ROW()-2,"0000"))</x:f>
      </x:c>
      <x:c r="B91" s="22"/>
      <x:c r="C91" s="22"/>
      <x:c r="D91" s="22"/>
      <x:c r="E91" s="22"/>
      <x:c r="F91" s="26"/>
      <x:c r="G91" s="22"/>
      <x:c r="H91" s="22"/>
      <x:c r="I91" s="22"/>
      <x:c r="J91" s="22"/>
      <x:c r="K91" s="22"/>
      <x:c r="L91" s="22"/>
      <x:c r="M91" s="22"/>
      <x:c r="N91" s="28" t="n">
        <x:f>IFERROR(K91/J91,0)</x:f>
        <x:v>0</x:v>
      </x:c>
      <x:c r="O91" s="28" t="n">
        <x:f>IFERROR(M91/K91,0)</x:f>
        <x:v>0</x:v>
      </x:c>
      <x:c r="P91" s="22"/>
    </x:row>
    <x:row r="92">
      <x:c r="A92" s="22" t="str">
        <x:f>IF(B92="","","PRB-"&amp;TEXT(ROW()-2,"0000"))</x:f>
      </x:c>
      <x:c r="B92" s="22"/>
      <x:c r="C92" s="22"/>
      <x:c r="D92" s="22"/>
      <x:c r="E92" s="22"/>
      <x:c r="F92" s="26"/>
      <x:c r="G92" s="22"/>
      <x:c r="H92" s="22"/>
      <x:c r="I92" s="22"/>
      <x:c r="J92" s="22"/>
      <x:c r="K92" s="22"/>
      <x:c r="L92" s="22"/>
      <x:c r="M92" s="22"/>
      <x:c r="N92" s="28" t="n">
        <x:f>IFERROR(K92/J92,0)</x:f>
        <x:v>0</x:v>
      </x:c>
      <x:c r="O92" s="28" t="n">
        <x:f>IFERROR(M92/K92,0)</x:f>
        <x:v>0</x:v>
      </x:c>
      <x:c r="P92" s="22"/>
    </x:row>
    <x:row r="93">
      <x:c r="A93" s="22" t="str">
        <x:f>IF(B93="","","PRB-"&amp;TEXT(ROW()-2,"0000"))</x:f>
      </x:c>
      <x:c r="B93" s="22"/>
      <x:c r="C93" s="22"/>
      <x:c r="D93" s="22"/>
      <x:c r="E93" s="22"/>
      <x:c r="F93" s="26"/>
      <x:c r="G93" s="22"/>
      <x:c r="H93" s="22"/>
      <x:c r="I93" s="22"/>
      <x:c r="J93" s="22"/>
      <x:c r="K93" s="22"/>
      <x:c r="L93" s="22"/>
      <x:c r="M93" s="22"/>
      <x:c r="N93" s="28" t="n">
        <x:f>IFERROR(K93/J93,0)</x:f>
        <x:v>0</x:v>
      </x:c>
      <x:c r="O93" s="28" t="n">
        <x:f>IFERROR(M93/K93,0)</x:f>
        <x:v>0</x:v>
      </x:c>
      <x:c r="P93" s="22"/>
    </x:row>
    <x:row r="94">
      <x:c r="A94" s="22" t="str">
        <x:f>IF(B94="","","PRB-"&amp;TEXT(ROW()-2,"0000"))</x:f>
      </x:c>
      <x:c r="B94" s="22"/>
      <x:c r="C94" s="22"/>
      <x:c r="D94" s="22"/>
      <x:c r="E94" s="22"/>
      <x:c r="F94" s="26"/>
      <x:c r="G94" s="22"/>
      <x:c r="H94" s="22"/>
      <x:c r="I94" s="22"/>
      <x:c r="J94" s="22"/>
      <x:c r="K94" s="22"/>
      <x:c r="L94" s="22"/>
      <x:c r="M94" s="22"/>
      <x:c r="N94" s="28" t="n">
        <x:f>IFERROR(K94/J94,0)</x:f>
        <x:v>0</x:v>
      </x:c>
      <x:c r="O94" s="28" t="n">
        <x:f>IFERROR(M94/K94,0)</x:f>
        <x:v>0</x:v>
      </x:c>
      <x:c r="P94" s="22"/>
    </x:row>
    <x:row r="95">
      <x:c r="A95" s="22" t="str">
        <x:f>IF(B95="","","PRB-"&amp;TEXT(ROW()-2,"0000"))</x:f>
      </x:c>
      <x:c r="B95" s="22"/>
      <x:c r="C95" s="22"/>
      <x:c r="D95" s="22"/>
      <x:c r="E95" s="22"/>
      <x:c r="F95" s="26"/>
      <x:c r="G95" s="22"/>
      <x:c r="H95" s="22"/>
      <x:c r="I95" s="22"/>
      <x:c r="J95" s="22"/>
      <x:c r="K95" s="22"/>
      <x:c r="L95" s="22"/>
      <x:c r="M95" s="22"/>
      <x:c r="N95" s="28" t="n">
        <x:f>IFERROR(K95/J95,0)</x:f>
        <x:v>0</x:v>
      </x:c>
      <x:c r="O95" s="28" t="n">
        <x:f>IFERROR(M95/K95,0)</x:f>
        <x:v>0</x:v>
      </x:c>
      <x:c r="P95" s="22"/>
    </x:row>
    <x:row r="96">
      <x:c r="A96" s="22" t="str">
        <x:f>IF(B96="","","PRB-"&amp;TEXT(ROW()-2,"0000"))</x:f>
      </x:c>
      <x:c r="B96" s="22"/>
      <x:c r="C96" s="22"/>
      <x:c r="D96" s="22"/>
      <x:c r="E96" s="22"/>
      <x:c r="F96" s="26"/>
      <x:c r="G96" s="22"/>
      <x:c r="H96" s="22"/>
      <x:c r="I96" s="22"/>
      <x:c r="J96" s="22"/>
      <x:c r="K96" s="22"/>
      <x:c r="L96" s="22"/>
      <x:c r="M96" s="22"/>
      <x:c r="N96" s="28" t="n">
        <x:f>IFERROR(K96/J96,0)</x:f>
        <x:v>0</x:v>
      </x:c>
      <x:c r="O96" s="28" t="n">
        <x:f>IFERROR(M96/K96,0)</x:f>
        <x:v>0</x:v>
      </x:c>
      <x:c r="P96" s="22"/>
    </x:row>
    <x:row r="97">
      <x:c r="A97" s="22" t="str">
        <x:f>IF(B97="","","PRB-"&amp;TEXT(ROW()-2,"0000"))</x:f>
      </x:c>
      <x:c r="B97" s="22"/>
      <x:c r="C97" s="22"/>
      <x:c r="D97" s="22"/>
      <x:c r="E97" s="22"/>
      <x:c r="F97" s="26"/>
      <x:c r="G97" s="22"/>
      <x:c r="H97" s="22"/>
      <x:c r="I97" s="22"/>
      <x:c r="J97" s="22"/>
      <x:c r="K97" s="22"/>
      <x:c r="L97" s="22"/>
      <x:c r="M97" s="22"/>
      <x:c r="N97" s="28" t="n">
        <x:f>IFERROR(K97/J97,0)</x:f>
        <x:v>0</x:v>
      </x:c>
      <x:c r="O97" s="28" t="n">
        <x:f>IFERROR(M97/K97,0)</x:f>
        <x:v>0</x:v>
      </x:c>
      <x:c r="P97" s="22"/>
    </x:row>
    <x:row r="98">
      <x:c r="A98" s="22" t="str">
        <x:f>IF(B98="","","PRB-"&amp;TEXT(ROW()-2,"0000"))</x:f>
      </x:c>
      <x:c r="B98" s="22"/>
      <x:c r="C98" s="22"/>
      <x:c r="D98" s="22"/>
      <x:c r="E98" s="22"/>
      <x:c r="F98" s="26"/>
      <x:c r="G98" s="22"/>
      <x:c r="H98" s="22"/>
      <x:c r="I98" s="22"/>
      <x:c r="J98" s="22"/>
      <x:c r="K98" s="22"/>
      <x:c r="L98" s="22"/>
      <x:c r="M98" s="22"/>
      <x:c r="N98" s="28" t="n">
        <x:f>IFERROR(K98/J98,0)</x:f>
        <x:v>0</x:v>
      </x:c>
      <x:c r="O98" s="28" t="n">
        <x:f>IFERROR(M98/K98,0)</x:f>
        <x:v>0</x:v>
      </x:c>
      <x:c r="P98" s="22"/>
    </x:row>
    <x:row r="99">
      <x:c r="A99" s="22" t="str">
        <x:f>IF(B99="","","PRB-"&amp;TEXT(ROW()-2,"0000"))</x:f>
      </x:c>
      <x:c r="B99" s="22"/>
      <x:c r="C99" s="22"/>
      <x:c r="D99" s="22"/>
      <x:c r="E99" s="22"/>
      <x:c r="F99" s="26"/>
      <x:c r="G99" s="22"/>
      <x:c r="H99" s="22"/>
      <x:c r="I99" s="22"/>
      <x:c r="J99" s="22"/>
      <x:c r="K99" s="22"/>
      <x:c r="L99" s="22"/>
      <x:c r="M99" s="22"/>
      <x:c r="N99" s="28" t="n">
        <x:f>IFERROR(K99/J99,0)</x:f>
        <x:v>0</x:v>
      </x:c>
      <x:c r="O99" s="28" t="n">
        <x:f>IFERROR(M99/K99,0)</x:f>
        <x:v>0</x:v>
      </x:c>
      <x:c r="P99" s="22"/>
    </x:row>
    <x:row r="100">
      <x:c r="A100" s="22" t="str">
        <x:f>IF(B100="","","PRB-"&amp;TEXT(ROW()-2,"0000"))</x:f>
      </x:c>
      <x:c r="B100" s="22"/>
      <x:c r="C100" s="22"/>
      <x:c r="D100" s="22"/>
      <x:c r="E100" s="22"/>
      <x:c r="F100" s="26"/>
      <x:c r="G100" s="22"/>
      <x:c r="H100" s="22"/>
      <x:c r="I100" s="22"/>
      <x:c r="J100" s="22"/>
      <x:c r="K100" s="22"/>
      <x:c r="L100" s="22"/>
      <x:c r="M100" s="22"/>
      <x:c r="N100" s="28" t="n">
        <x:f>IFERROR(K100/J100,0)</x:f>
        <x:v>0</x:v>
      </x:c>
      <x:c r="O100" s="28" t="n">
        <x:f>IFERROR(M100/K100,0)</x:f>
        <x:v>0</x:v>
      </x:c>
      <x:c r="P100" s="22"/>
    </x:row>
    <x:row r="101">
      <x:c r="A101" s="22" t="str">
        <x:f>IF(B101="","","PRB-"&amp;TEXT(ROW()-2,"0000"))</x:f>
      </x:c>
      <x:c r="B101" s="22"/>
      <x:c r="C101" s="22"/>
      <x:c r="D101" s="22"/>
      <x:c r="E101" s="22"/>
      <x:c r="F101" s="26"/>
      <x:c r="G101" s="22"/>
      <x:c r="H101" s="22"/>
      <x:c r="I101" s="22"/>
      <x:c r="J101" s="22"/>
      <x:c r="K101" s="22"/>
      <x:c r="L101" s="22"/>
      <x:c r="M101" s="22"/>
      <x:c r="N101" s="28" t="n">
        <x:f>IFERROR(K101/J101,0)</x:f>
        <x:v>0</x:v>
      </x:c>
      <x:c r="O101" s="28" t="n">
        <x:f>IFERROR(M101/K101,0)</x:f>
        <x:v>0</x:v>
      </x:c>
      <x:c r="P101" s="22"/>
    </x:row>
    <x:row r="102">
      <x:c r="A102" s="22" t="str">
        <x:f>IF(B102="","","PRB-"&amp;TEXT(ROW()-2,"0000"))</x:f>
      </x:c>
      <x:c r="B102" s="22"/>
      <x:c r="C102" s="22"/>
      <x:c r="D102" s="22"/>
      <x:c r="E102" s="22"/>
      <x:c r="F102" s="26"/>
      <x:c r="G102" s="22"/>
      <x:c r="H102" s="22"/>
      <x:c r="I102" s="22"/>
      <x:c r="J102" s="22"/>
      <x:c r="K102" s="22"/>
      <x:c r="L102" s="22"/>
      <x:c r="M102" s="22"/>
      <x:c r="N102" s="28" t="n">
        <x:f>IFERROR(K102/J102,0)</x:f>
        <x:v>0</x:v>
      </x:c>
      <x:c r="O102" s="28" t="n">
        <x:f>IFERROR(M102/K102,0)</x:f>
        <x:v>0</x:v>
      </x:c>
      <x:c r="P102" s="22"/>
    </x:row>
    <x:row r="103">
      <x:c r="A103" s="22" t="str">
        <x:f>IF(B103="","","PRB-"&amp;TEXT(ROW()-2,"0000"))</x:f>
      </x:c>
      <x:c r="B103" s="22"/>
      <x:c r="C103" s="22"/>
      <x:c r="D103" s="22"/>
      <x:c r="E103" s="22"/>
      <x:c r="F103" s="26"/>
      <x:c r="G103" s="22"/>
      <x:c r="H103" s="22"/>
      <x:c r="I103" s="22"/>
      <x:c r="J103" s="22"/>
      <x:c r="K103" s="22"/>
      <x:c r="L103" s="22"/>
      <x:c r="M103" s="22"/>
      <x:c r="N103" s="28" t="n">
        <x:f>IFERROR(K103/J103,0)</x:f>
        <x:v>0</x:v>
      </x:c>
      <x:c r="O103" s="28" t="n">
        <x:f>IFERROR(M103/K103,0)</x:f>
        <x:v>0</x:v>
      </x:c>
      <x:c r="P103" s="22"/>
    </x:row>
    <x:row r="104">
      <x:c r="A104" s="22" t="str">
        <x:f>IF(B104="","","PRB-"&amp;TEXT(ROW()-2,"0000"))</x:f>
      </x:c>
      <x:c r="B104" s="22"/>
      <x:c r="C104" s="22"/>
      <x:c r="D104" s="22"/>
      <x:c r="E104" s="22"/>
      <x:c r="F104" s="26"/>
      <x:c r="G104" s="22"/>
      <x:c r="H104" s="22"/>
      <x:c r="I104" s="22"/>
      <x:c r="J104" s="22"/>
      <x:c r="K104" s="22"/>
      <x:c r="L104" s="22"/>
      <x:c r="M104" s="22"/>
      <x:c r="N104" s="28" t="n">
        <x:f>IFERROR(K104/J104,0)</x:f>
        <x:v>0</x:v>
      </x:c>
      <x:c r="O104" s="28" t="n">
        <x:f>IFERROR(M104/K104,0)</x:f>
        <x:v>0</x:v>
      </x:c>
      <x:c r="P104" s="22"/>
    </x:row>
    <x:row r="105">
      <x:c r="A105" s="22" t="str">
        <x:f>IF(B105="","","PRB-"&amp;TEXT(ROW()-2,"0000"))</x:f>
      </x:c>
      <x:c r="B105" s="22"/>
      <x:c r="C105" s="22"/>
      <x:c r="D105" s="22"/>
      <x:c r="E105" s="22"/>
      <x:c r="F105" s="26"/>
      <x:c r="G105" s="22"/>
      <x:c r="H105" s="22"/>
      <x:c r="I105" s="22"/>
      <x:c r="J105" s="22"/>
      <x:c r="K105" s="22"/>
      <x:c r="L105" s="22"/>
      <x:c r="M105" s="22"/>
      <x:c r="N105" s="28" t="n">
        <x:f>IFERROR(K105/J105,0)</x:f>
        <x:v>0</x:v>
      </x:c>
      <x:c r="O105" s="28" t="n">
        <x:f>IFERROR(M105/K105,0)</x:f>
        <x:v>0</x:v>
      </x:c>
      <x:c r="P105" s="22"/>
    </x:row>
    <x:row r="106">
      <x:c r="A106" s="22" t="str">
        <x:f>IF(B106="","","PRB-"&amp;TEXT(ROW()-2,"0000"))</x:f>
      </x:c>
      <x:c r="B106" s="22"/>
      <x:c r="C106" s="22"/>
      <x:c r="D106" s="22"/>
      <x:c r="E106" s="22"/>
      <x:c r="F106" s="26"/>
      <x:c r="G106" s="22"/>
      <x:c r="H106" s="22"/>
      <x:c r="I106" s="22"/>
      <x:c r="J106" s="22"/>
      <x:c r="K106" s="22"/>
      <x:c r="L106" s="22"/>
      <x:c r="M106" s="22"/>
      <x:c r="N106" s="28" t="n">
        <x:f>IFERROR(K106/J106,0)</x:f>
        <x:v>0</x:v>
      </x:c>
      <x:c r="O106" s="28" t="n">
        <x:f>IFERROR(M106/K106,0)</x:f>
        <x:v>0</x:v>
      </x:c>
      <x:c r="P106" s="22"/>
    </x:row>
    <x:row r="107">
      <x:c r="A107" s="22" t="str">
        <x:f>IF(B107="","","PRB-"&amp;TEXT(ROW()-2,"0000"))</x:f>
      </x:c>
      <x:c r="B107" s="22"/>
      <x:c r="C107" s="22"/>
      <x:c r="D107" s="22"/>
      <x:c r="E107" s="22"/>
      <x:c r="F107" s="26"/>
      <x:c r="G107" s="22"/>
      <x:c r="H107" s="22"/>
      <x:c r="I107" s="22"/>
      <x:c r="J107" s="22"/>
      <x:c r="K107" s="22"/>
      <x:c r="L107" s="22"/>
      <x:c r="M107" s="22"/>
      <x:c r="N107" s="28" t="n">
        <x:f>IFERROR(K107/J107,0)</x:f>
        <x:v>0</x:v>
      </x:c>
      <x:c r="O107" s="28" t="n">
        <x:f>IFERROR(M107/K107,0)</x:f>
        <x:v>0</x:v>
      </x:c>
      <x:c r="P107" s="22"/>
    </x:row>
    <x:row r="108">
      <x:c r="A108" s="22" t="str">
        <x:f>IF(B108="","","PRB-"&amp;TEXT(ROW()-2,"0000"))</x:f>
      </x:c>
      <x:c r="B108" s="22"/>
      <x:c r="C108" s="22"/>
      <x:c r="D108" s="22"/>
      <x:c r="E108" s="22"/>
      <x:c r="F108" s="26"/>
      <x:c r="G108" s="22"/>
      <x:c r="H108" s="22"/>
      <x:c r="I108" s="22"/>
      <x:c r="J108" s="22"/>
      <x:c r="K108" s="22"/>
      <x:c r="L108" s="22"/>
      <x:c r="M108" s="22"/>
      <x:c r="N108" s="28" t="n">
        <x:f>IFERROR(K108/J108,0)</x:f>
        <x:v>0</x:v>
      </x:c>
      <x:c r="O108" s="28" t="n">
        <x:f>IFERROR(M108/K108,0)</x:f>
        <x:v>0</x:v>
      </x:c>
      <x:c r="P108" s="22"/>
    </x:row>
    <x:row r="109">
      <x:c r="A109" s="22" t="str">
        <x:f>IF(B109="","","PRB-"&amp;TEXT(ROW()-2,"0000"))</x:f>
      </x:c>
      <x:c r="B109" s="22"/>
      <x:c r="C109" s="22"/>
      <x:c r="D109" s="22"/>
      <x:c r="E109" s="22"/>
      <x:c r="F109" s="26"/>
      <x:c r="G109" s="22"/>
      <x:c r="H109" s="22"/>
      <x:c r="I109" s="22"/>
      <x:c r="J109" s="22"/>
      <x:c r="K109" s="22"/>
      <x:c r="L109" s="22"/>
      <x:c r="M109" s="22"/>
      <x:c r="N109" s="28" t="n">
        <x:f>IFERROR(K109/J109,0)</x:f>
        <x:v>0</x:v>
      </x:c>
      <x:c r="O109" s="28" t="n">
        <x:f>IFERROR(M109/K109,0)</x:f>
        <x:v>0</x:v>
      </x:c>
      <x:c r="P109" s="22"/>
    </x:row>
    <x:row r="110">
      <x:c r="A110" s="22" t="str">
        <x:f>IF(B110="","","PRB-"&amp;TEXT(ROW()-2,"0000"))</x:f>
      </x:c>
      <x:c r="B110" s="22"/>
      <x:c r="C110" s="22"/>
      <x:c r="D110" s="22"/>
      <x:c r="E110" s="22"/>
      <x:c r="F110" s="26"/>
      <x:c r="G110" s="22"/>
      <x:c r="H110" s="22"/>
      <x:c r="I110" s="22"/>
      <x:c r="J110" s="22"/>
      <x:c r="K110" s="22"/>
      <x:c r="L110" s="22"/>
      <x:c r="M110" s="22"/>
      <x:c r="N110" s="28" t="n">
        <x:f>IFERROR(K110/J110,0)</x:f>
        <x:v>0</x:v>
      </x:c>
      <x:c r="O110" s="28" t="n">
        <x:f>IFERROR(M110/K110,0)</x:f>
        <x:v>0</x:v>
      </x:c>
      <x:c r="P110" s="22"/>
    </x:row>
    <x:row r="111">
      <x:c r="A111" s="22" t="str">
        <x:f>IF(B111="","","PRB-"&amp;TEXT(ROW()-2,"0000"))</x:f>
      </x:c>
      <x:c r="B111" s="22"/>
      <x:c r="C111" s="22"/>
      <x:c r="D111" s="22"/>
      <x:c r="E111" s="22"/>
      <x:c r="F111" s="26"/>
      <x:c r="G111" s="22"/>
      <x:c r="H111" s="22"/>
      <x:c r="I111" s="22"/>
      <x:c r="J111" s="22"/>
      <x:c r="K111" s="22"/>
      <x:c r="L111" s="22"/>
      <x:c r="M111" s="22"/>
      <x:c r="N111" s="28" t="n">
        <x:f>IFERROR(K111/J111,0)</x:f>
        <x:v>0</x:v>
      </x:c>
      <x:c r="O111" s="28" t="n">
        <x:f>IFERROR(M111/K111,0)</x:f>
        <x:v>0</x:v>
      </x:c>
      <x:c r="P111" s="22"/>
    </x:row>
    <x:row r="112">
      <x:c r="A112" s="22" t="str">
        <x:f>IF(B112="","","PRB-"&amp;TEXT(ROW()-2,"0000"))</x:f>
      </x:c>
      <x:c r="B112" s="22"/>
      <x:c r="C112" s="22"/>
      <x:c r="D112" s="22"/>
      <x:c r="E112" s="22"/>
      <x:c r="F112" s="26"/>
      <x:c r="G112" s="22"/>
      <x:c r="H112" s="22"/>
      <x:c r="I112" s="22"/>
      <x:c r="J112" s="22"/>
      <x:c r="K112" s="22"/>
      <x:c r="L112" s="22"/>
      <x:c r="M112" s="22"/>
      <x:c r="N112" s="28" t="n">
        <x:f>IFERROR(K112/J112,0)</x:f>
        <x:v>0</x:v>
      </x:c>
      <x:c r="O112" s="28" t="n">
        <x:f>IFERROR(M112/K112,0)</x:f>
        <x:v>0</x:v>
      </x:c>
      <x:c r="P112" s="22"/>
    </x:row>
    <x:row r="113">
      <x:c r="A113" s="22" t="str">
        <x:f>IF(B113="","","PRB-"&amp;TEXT(ROW()-2,"0000"))</x:f>
      </x:c>
      <x:c r="B113" s="22"/>
      <x:c r="C113" s="22"/>
      <x:c r="D113" s="22"/>
      <x:c r="E113" s="22"/>
      <x:c r="F113" s="26"/>
      <x:c r="G113" s="22"/>
      <x:c r="H113" s="22"/>
      <x:c r="I113" s="22"/>
      <x:c r="J113" s="22"/>
      <x:c r="K113" s="22"/>
      <x:c r="L113" s="22"/>
      <x:c r="M113" s="22"/>
      <x:c r="N113" s="28" t="n">
        <x:f>IFERROR(K113/J113,0)</x:f>
        <x:v>0</x:v>
      </x:c>
      <x:c r="O113" s="28" t="n">
        <x:f>IFERROR(M113/K113,0)</x:f>
        <x:v>0</x:v>
      </x:c>
      <x:c r="P113" s="22"/>
    </x:row>
    <x:row r="114">
      <x:c r="A114" s="22" t="str">
        <x:f>IF(B114="","","PRB-"&amp;TEXT(ROW()-2,"0000"))</x:f>
      </x:c>
      <x:c r="B114" s="22"/>
      <x:c r="C114" s="22"/>
      <x:c r="D114" s="22"/>
      <x:c r="E114" s="22"/>
      <x:c r="F114" s="26"/>
      <x:c r="G114" s="22"/>
      <x:c r="H114" s="22"/>
      <x:c r="I114" s="22"/>
      <x:c r="J114" s="22"/>
      <x:c r="K114" s="22"/>
      <x:c r="L114" s="22"/>
      <x:c r="M114" s="22"/>
      <x:c r="N114" s="28" t="n">
        <x:f>IFERROR(K114/J114,0)</x:f>
        <x:v>0</x:v>
      </x:c>
      <x:c r="O114" s="28" t="n">
        <x:f>IFERROR(M114/K114,0)</x:f>
        <x:v>0</x:v>
      </x:c>
      <x:c r="P114" s="22"/>
    </x:row>
    <x:row r="115">
      <x:c r="A115" s="22" t="str">
        <x:f>IF(B115="","","PRB-"&amp;TEXT(ROW()-2,"0000"))</x:f>
      </x:c>
      <x:c r="B115" s="22"/>
      <x:c r="C115" s="22"/>
      <x:c r="D115" s="22"/>
      <x:c r="E115" s="22"/>
      <x:c r="F115" s="26"/>
      <x:c r="G115" s="22"/>
      <x:c r="H115" s="22"/>
      <x:c r="I115" s="22"/>
      <x:c r="J115" s="22"/>
      <x:c r="K115" s="22"/>
      <x:c r="L115" s="22"/>
      <x:c r="M115" s="22"/>
      <x:c r="N115" s="28" t="n">
        <x:f>IFERROR(K115/J115,0)</x:f>
        <x:v>0</x:v>
      </x:c>
      <x:c r="O115" s="28" t="n">
        <x:f>IFERROR(M115/K115,0)</x:f>
        <x:v>0</x:v>
      </x:c>
      <x:c r="P115" s="22"/>
    </x:row>
    <x:row r="116">
      <x:c r="A116" s="22" t="str">
        <x:f>IF(B116="","","PRB-"&amp;TEXT(ROW()-2,"0000"))</x:f>
      </x:c>
      <x:c r="B116" s="22"/>
      <x:c r="C116" s="22"/>
      <x:c r="D116" s="22"/>
      <x:c r="E116" s="22"/>
      <x:c r="F116" s="26"/>
      <x:c r="G116" s="22"/>
      <x:c r="H116" s="22"/>
      <x:c r="I116" s="22"/>
      <x:c r="J116" s="22"/>
      <x:c r="K116" s="22"/>
      <x:c r="L116" s="22"/>
      <x:c r="M116" s="22"/>
      <x:c r="N116" s="28" t="n">
        <x:f>IFERROR(K116/J116,0)</x:f>
        <x:v>0</x:v>
      </x:c>
      <x:c r="O116" s="28" t="n">
        <x:f>IFERROR(M116/K116,0)</x:f>
        <x:v>0</x:v>
      </x:c>
      <x:c r="P116" s="22"/>
    </x:row>
    <x:row r="117">
      <x:c r="A117" s="22" t="str">
        <x:f>IF(B117="","","PRB-"&amp;TEXT(ROW()-2,"0000"))</x:f>
      </x:c>
      <x:c r="B117" s="22"/>
      <x:c r="C117" s="22"/>
      <x:c r="D117" s="22"/>
      <x:c r="E117" s="22"/>
      <x:c r="F117" s="26"/>
      <x:c r="G117" s="22"/>
      <x:c r="H117" s="22"/>
      <x:c r="I117" s="22"/>
      <x:c r="J117" s="22"/>
      <x:c r="K117" s="22"/>
      <x:c r="L117" s="22"/>
      <x:c r="M117" s="22"/>
      <x:c r="N117" s="28" t="n">
        <x:f>IFERROR(K117/J117,0)</x:f>
        <x:v>0</x:v>
      </x:c>
      <x:c r="O117" s="28" t="n">
        <x:f>IFERROR(M117/K117,0)</x:f>
        <x:v>0</x:v>
      </x:c>
      <x:c r="P117" s="22"/>
    </x:row>
    <x:row r="118">
      <x:c r="A118" s="22" t="str">
        <x:f>IF(B118="","","PRB-"&amp;TEXT(ROW()-2,"0000"))</x:f>
      </x:c>
      <x:c r="B118" s="22"/>
      <x:c r="C118" s="22"/>
      <x:c r="D118" s="22"/>
      <x:c r="E118" s="22"/>
      <x:c r="F118" s="26"/>
      <x:c r="G118" s="22"/>
      <x:c r="H118" s="22"/>
      <x:c r="I118" s="22"/>
      <x:c r="J118" s="22"/>
      <x:c r="K118" s="22"/>
      <x:c r="L118" s="22"/>
      <x:c r="M118" s="22"/>
      <x:c r="N118" s="28" t="n">
        <x:f>IFERROR(K118/J118,0)</x:f>
        <x:v>0</x:v>
      </x:c>
      <x:c r="O118" s="28" t="n">
        <x:f>IFERROR(M118/K118,0)</x:f>
        <x:v>0</x:v>
      </x:c>
      <x:c r="P118" s="22"/>
    </x:row>
    <x:row r="119">
      <x:c r="A119" s="22" t="str">
        <x:f>IF(B119="","","PRB-"&amp;TEXT(ROW()-2,"0000"))</x:f>
      </x:c>
      <x:c r="B119" s="22"/>
      <x:c r="C119" s="22"/>
      <x:c r="D119" s="22"/>
      <x:c r="E119" s="22"/>
      <x:c r="F119" s="26"/>
      <x:c r="G119" s="22"/>
      <x:c r="H119" s="22"/>
      <x:c r="I119" s="22"/>
      <x:c r="J119" s="22"/>
      <x:c r="K119" s="22"/>
      <x:c r="L119" s="22"/>
      <x:c r="M119" s="22"/>
      <x:c r="N119" s="28" t="n">
        <x:f>IFERROR(K119/J119,0)</x:f>
        <x:v>0</x:v>
      </x:c>
      <x:c r="O119" s="28" t="n">
        <x:f>IFERROR(M119/K119,0)</x:f>
        <x:v>0</x:v>
      </x:c>
      <x:c r="P119" s="22"/>
    </x:row>
    <x:row r="120">
      <x:c r="A120" s="22" t="str">
        <x:f>IF(B120="","","PRB-"&amp;TEXT(ROW()-2,"0000"))</x:f>
      </x:c>
      <x:c r="B120" s="22"/>
      <x:c r="C120" s="22"/>
      <x:c r="D120" s="22"/>
      <x:c r="E120" s="22"/>
      <x:c r="F120" s="26"/>
      <x:c r="G120" s="22"/>
      <x:c r="H120" s="22"/>
      <x:c r="I120" s="22"/>
      <x:c r="J120" s="22"/>
      <x:c r="K120" s="22"/>
      <x:c r="L120" s="22"/>
      <x:c r="M120" s="22"/>
      <x:c r="N120" s="28" t="n">
        <x:f>IFERROR(K120/J120,0)</x:f>
        <x:v>0</x:v>
      </x:c>
      <x:c r="O120" s="28" t="n">
        <x:f>IFERROR(M120/K120,0)</x:f>
        <x:v>0</x:v>
      </x:c>
      <x:c r="P120" s="22"/>
    </x:row>
    <x:row r="121">
      <x:c r="A121" s="22" t="str">
        <x:f>IF(B121="","","PRB-"&amp;TEXT(ROW()-2,"0000"))</x:f>
      </x:c>
      <x:c r="B121" s="22"/>
      <x:c r="C121" s="22"/>
      <x:c r="D121" s="22"/>
      <x:c r="E121" s="22"/>
      <x:c r="F121" s="26"/>
      <x:c r="G121" s="22"/>
      <x:c r="H121" s="22"/>
      <x:c r="I121" s="22"/>
      <x:c r="J121" s="22"/>
      <x:c r="K121" s="22"/>
      <x:c r="L121" s="22"/>
      <x:c r="M121" s="22"/>
      <x:c r="N121" s="28" t="n">
        <x:f>IFERROR(K121/J121,0)</x:f>
        <x:v>0</x:v>
      </x:c>
      <x:c r="O121" s="28" t="n">
        <x:f>IFERROR(M121/K121,0)</x:f>
        <x:v>0</x:v>
      </x:c>
      <x:c r="P121" s="22"/>
    </x:row>
    <x:row r="122">
      <x:c r="A122" s="22" t="str">
        <x:f>IF(B122="","","PRB-"&amp;TEXT(ROW()-2,"0000"))</x:f>
      </x:c>
      <x:c r="B122" s="22"/>
      <x:c r="C122" s="22"/>
      <x:c r="D122" s="22"/>
      <x:c r="E122" s="22"/>
      <x:c r="F122" s="26"/>
      <x:c r="G122" s="22"/>
      <x:c r="H122" s="22"/>
      <x:c r="I122" s="22"/>
      <x:c r="J122" s="22"/>
      <x:c r="K122" s="22"/>
      <x:c r="L122" s="22"/>
      <x:c r="M122" s="22"/>
      <x:c r="N122" s="28" t="n">
        <x:f>IFERROR(K122/J122,0)</x:f>
        <x:v>0</x:v>
      </x:c>
      <x:c r="O122" s="28" t="n">
        <x:f>IFERROR(M122/K122,0)</x:f>
        <x:v>0</x:v>
      </x:c>
      <x:c r="P122" s="22"/>
    </x:row>
    <x:row r="123">
      <x:c r="A123" s="22" t="str">
        <x:f>IF(B123="","","PRB-"&amp;TEXT(ROW()-2,"0000"))</x:f>
      </x:c>
      <x:c r="B123" s="22"/>
      <x:c r="C123" s="22"/>
      <x:c r="D123" s="22"/>
      <x:c r="E123" s="22"/>
      <x:c r="F123" s="26"/>
      <x:c r="G123" s="22"/>
      <x:c r="H123" s="22"/>
      <x:c r="I123" s="22"/>
      <x:c r="J123" s="22"/>
      <x:c r="K123" s="22"/>
      <x:c r="L123" s="22"/>
      <x:c r="M123" s="22"/>
      <x:c r="N123" s="28" t="n">
        <x:f>IFERROR(K123/J123,0)</x:f>
        <x:v>0</x:v>
      </x:c>
      <x:c r="O123" s="28" t="n">
        <x:f>IFERROR(M123/K123,0)</x:f>
        <x:v>0</x:v>
      </x:c>
      <x:c r="P123" s="22"/>
    </x:row>
    <x:row r="124">
      <x:c r="A124" s="22" t="str">
        <x:f>IF(B124="","","PRB-"&amp;TEXT(ROW()-2,"0000"))</x:f>
      </x:c>
      <x:c r="B124" s="22"/>
      <x:c r="C124" s="22"/>
      <x:c r="D124" s="22"/>
      <x:c r="E124" s="22"/>
      <x:c r="F124" s="26"/>
      <x:c r="G124" s="22"/>
      <x:c r="H124" s="22"/>
      <x:c r="I124" s="22"/>
      <x:c r="J124" s="22"/>
      <x:c r="K124" s="22"/>
      <x:c r="L124" s="22"/>
      <x:c r="M124" s="22"/>
      <x:c r="N124" s="28" t="n">
        <x:f>IFERROR(K124/J124,0)</x:f>
        <x:v>0</x:v>
      </x:c>
      <x:c r="O124" s="28" t="n">
        <x:f>IFERROR(M124/K124,0)</x:f>
        <x:v>0</x:v>
      </x:c>
      <x:c r="P124" s="22"/>
    </x:row>
    <x:row r="125">
      <x:c r="A125" s="22" t="str">
        <x:f>IF(B125="","","PRB-"&amp;TEXT(ROW()-2,"0000"))</x:f>
      </x:c>
      <x:c r="B125" s="22"/>
      <x:c r="C125" s="22"/>
      <x:c r="D125" s="22"/>
      <x:c r="E125" s="22"/>
      <x:c r="F125" s="26"/>
      <x:c r="G125" s="22"/>
      <x:c r="H125" s="22"/>
      <x:c r="I125" s="22"/>
      <x:c r="J125" s="22"/>
      <x:c r="K125" s="22"/>
      <x:c r="L125" s="22"/>
      <x:c r="M125" s="22"/>
      <x:c r="N125" s="28" t="n">
        <x:f>IFERROR(K125/J125,0)</x:f>
        <x:v>0</x:v>
      </x:c>
      <x:c r="O125" s="28" t="n">
        <x:f>IFERROR(M125/K125,0)</x:f>
        <x:v>0</x:v>
      </x:c>
      <x:c r="P125" s="22"/>
    </x:row>
    <x:row r="126">
      <x:c r="A126" s="22" t="str">
        <x:f>IF(B126="","","PRB-"&amp;TEXT(ROW()-2,"0000"))</x:f>
      </x:c>
      <x:c r="B126" s="22"/>
      <x:c r="C126" s="22"/>
      <x:c r="D126" s="22"/>
      <x:c r="E126" s="22"/>
      <x:c r="F126" s="26"/>
      <x:c r="G126" s="22"/>
      <x:c r="H126" s="22"/>
      <x:c r="I126" s="22"/>
      <x:c r="J126" s="22"/>
      <x:c r="K126" s="22"/>
      <x:c r="L126" s="22"/>
      <x:c r="M126" s="22"/>
      <x:c r="N126" s="28" t="n">
        <x:f>IFERROR(K126/J126,0)</x:f>
        <x:v>0</x:v>
      </x:c>
      <x:c r="O126" s="28" t="n">
        <x:f>IFERROR(M126/K126,0)</x:f>
        <x:v>0</x:v>
      </x:c>
      <x:c r="P126" s="22"/>
    </x:row>
    <x:row r="127">
      <x:c r="A127" s="22" t="str">
        <x:f>IF(B127="","","PRB-"&amp;TEXT(ROW()-2,"0000"))</x:f>
      </x:c>
      <x:c r="B127" s="22"/>
      <x:c r="C127" s="22"/>
      <x:c r="D127" s="22"/>
      <x:c r="E127" s="22"/>
      <x:c r="F127" s="26"/>
      <x:c r="G127" s="22"/>
      <x:c r="H127" s="22"/>
      <x:c r="I127" s="22"/>
      <x:c r="J127" s="22"/>
      <x:c r="K127" s="22"/>
      <x:c r="L127" s="22"/>
      <x:c r="M127" s="22"/>
      <x:c r="N127" s="28" t="n">
        <x:f>IFERROR(K127/J127,0)</x:f>
        <x:v>0</x:v>
      </x:c>
      <x:c r="O127" s="28" t="n">
        <x:f>IFERROR(M127/K127,0)</x:f>
        <x:v>0</x:v>
      </x:c>
      <x:c r="P127" s="22"/>
    </x:row>
    <x:row r="128">
      <x:c r="A128" s="22" t="str">
        <x:f>IF(B128="","","PRB-"&amp;TEXT(ROW()-2,"0000"))</x:f>
      </x:c>
      <x:c r="B128" s="22"/>
      <x:c r="C128" s="22"/>
      <x:c r="D128" s="22"/>
      <x:c r="E128" s="22"/>
      <x:c r="F128" s="26"/>
      <x:c r="G128" s="22"/>
      <x:c r="H128" s="22"/>
      <x:c r="I128" s="22"/>
      <x:c r="J128" s="22"/>
      <x:c r="K128" s="22"/>
      <x:c r="L128" s="22"/>
      <x:c r="M128" s="22"/>
      <x:c r="N128" s="28" t="n">
        <x:f>IFERROR(K128/J128,0)</x:f>
        <x:v>0</x:v>
      </x:c>
      <x:c r="O128" s="28" t="n">
        <x:f>IFERROR(M128/K128,0)</x:f>
        <x:v>0</x:v>
      </x:c>
      <x:c r="P128" s="22"/>
    </x:row>
    <x:row r="129">
      <x:c r="A129" s="22" t="str">
        <x:f>IF(B129="","","PRB-"&amp;TEXT(ROW()-2,"0000"))</x:f>
      </x:c>
      <x:c r="B129" s="22"/>
      <x:c r="C129" s="22"/>
      <x:c r="D129" s="22"/>
      <x:c r="E129" s="22"/>
      <x:c r="F129" s="26"/>
      <x:c r="G129" s="22"/>
      <x:c r="H129" s="22"/>
      <x:c r="I129" s="22"/>
      <x:c r="J129" s="22"/>
      <x:c r="K129" s="22"/>
      <x:c r="L129" s="22"/>
      <x:c r="M129" s="22"/>
      <x:c r="N129" s="28" t="n">
        <x:f>IFERROR(K129/J129,0)</x:f>
        <x:v>0</x:v>
      </x:c>
      <x:c r="O129" s="28" t="n">
        <x:f>IFERROR(M129/K129,0)</x:f>
        <x:v>0</x:v>
      </x:c>
      <x:c r="P129" s="22"/>
    </x:row>
    <x:row r="130">
      <x:c r="A130" s="22" t="str">
        <x:f>IF(B130="","","PRB-"&amp;TEXT(ROW()-2,"0000"))</x:f>
      </x:c>
      <x:c r="B130" s="22"/>
      <x:c r="C130" s="22"/>
      <x:c r="D130" s="22"/>
      <x:c r="E130" s="22"/>
      <x:c r="F130" s="26"/>
      <x:c r="G130" s="22"/>
      <x:c r="H130" s="22"/>
      <x:c r="I130" s="22"/>
      <x:c r="J130" s="22"/>
      <x:c r="K130" s="22"/>
      <x:c r="L130" s="22"/>
      <x:c r="M130" s="22"/>
      <x:c r="N130" s="28" t="n">
        <x:f>IFERROR(K130/J130,0)</x:f>
        <x:v>0</x:v>
      </x:c>
      <x:c r="O130" s="28" t="n">
        <x:f>IFERROR(M130/K130,0)</x:f>
        <x:v>0</x:v>
      </x:c>
      <x:c r="P130" s="22"/>
    </x:row>
    <x:row r="131">
      <x:c r="A131" s="22" t="str">
        <x:f>IF(B131="","","PRB-"&amp;TEXT(ROW()-2,"0000"))</x:f>
      </x:c>
      <x:c r="B131" s="22"/>
      <x:c r="C131" s="22"/>
      <x:c r="D131" s="22"/>
      <x:c r="E131" s="22"/>
      <x:c r="F131" s="26"/>
      <x:c r="G131" s="22"/>
      <x:c r="H131" s="22"/>
      <x:c r="I131" s="22"/>
      <x:c r="J131" s="22"/>
      <x:c r="K131" s="22"/>
      <x:c r="L131" s="22"/>
      <x:c r="M131" s="22"/>
      <x:c r="N131" s="28" t="n">
        <x:f>IFERROR(K131/J131,0)</x:f>
        <x:v>0</x:v>
      </x:c>
      <x:c r="O131" s="28" t="n">
        <x:f>IFERROR(M131/K131,0)</x:f>
        <x:v>0</x:v>
      </x:c>
      <x:c r="P131" s="22"/>
    </x:row>
    <x:row r="132">
      <x:c r="A132" s="22" t="str">
        <x:f>IF(B132="","","PRB-"&amp;TEXT(ROW()-2,"0000"))</x:f>
      </x:c>
      <x:c r="B132" s="22"/>
      <x:c r="C132" s="22"/>
      <x:c r="D132" s="22"/>
      <x:c r="E132" s="22"/>
      <x:c r="F132" s="26"/>
      <x:c r="G132" s="22"/>
      <x:c r="H132" s="22"/>
      <x:c r="I132" s="22"/>
      <x:c r="J132" s="22"/>
      <x:c r="K132" s="22"/>
      <x:c r="L132" s="22"/>
      <x:c r="M132" s="22"/>
      <x:c r="N132" s="28" t="n">
        <x:f>IFERROR(K132/J132,0)</x:f>
        <x:v>0</x:v>
      </x:c>
      <x:c r="O132" s="28" t="n">
        <x:f>IFERROR(M132/K132,0)</x:f>
        <x:v>0</x:v>
      </x:c>
      <x:c r="P132" s="22"/>
    </x:row>
    <x:row r="133">
      <x:c r="A133" s="22" t="str">
        <x:f>IF(B133="","","PRB-"&amp;TEXT(ROW()-2,"0000"))</x:f>
      </x:c>
      <x:c r="B133" s="22"/>
      <x:c r="C133" s="22"/>
      <x:c r="D133" s="22"/>
      <x:c r="E133" s="22"/>
      <x:c r="F133" s="26"/>
      <x:c r="G133" s="22"/>
      <x:c r="H133" s="22"/>
      <x:c r="I133" s="22"/>
      <x:c r="J133" s="22"/>
      <x:c r="K133" s="22"/>
      <x:c r="L133" s="22"/>
      <x:c r="M133" s="22"/>
      <x:c r="N133" s="28" t="n">
        <x:f>IFERROR(K133/J133,0)</x:f>
        <x:v>0</x:v>
      </x:c>
      <x:c r="O133" s="28" t="n">
        <x:f>IFERROR(M133/K133,0)</x:f>
        <x:v>0</x:v>
      </x:c>
      <x:c r="P133" s="22"/>
    </x:row>
    <x:row r="134">
      <x:c r="A134" s="22" t="str">
        <x:f>IF(B134="","","PRB-"&amp;TEXT(ROW()-2,"0000"))</x:f>
      </x:c>
      <x:c r="B134" s="22"/>
      <x:c r="C134" s="22"/>
      <x:c r="D134" s="22"/>
      <x:c r="E134" s="22"/>
      <x:c r="F134" s="26"/>
      <x:c r="G134" s="22"/>
      <x:c r="H134" s="22"/>
      <x:c r="I134" s="22"/>
      <x:c r="J134" s="22"/>
      <x:c r="K134" s="22"/>
      <x:c r="L134" s="22"/>
      <x:c r="M134" s="22"/>
      <x:c r="N134" s="28" t="n">
        <x:f>IFERROR(K134/J134,0)</x:f>
        <x:v>0</x:v>
      </x:c>
      <x:c r="O134" s="28" t="n">
        <x:f>IFERROR(M134/K134,0)</x:f>
        <x:v>0</x:v>
      </x:c>
      <x:c r="P134" s="22"/>
    </x:row>
    <x:row r="135">
      <x:c r="A135" s="22" t="str">
        <x:f>IF(B135="","","PRB-"&amp;TEXT(ROW()-2,"0000"))</x:f>
      </x:c>
      <x:c r="B135" s="22"/>
      <x:c r="C135" s="22"/>
      <x:c r="D135" s="22"/>
      <x:c r="E135" s="22"/>
      <x:c r="F135" s="26"/>
      <x:c r="G135" s="22"/>
      <x:c r="H135" s="22"/>
      <x:c r="I135" s="22"/>
      <x:c r="J135" s="22"/>
      <x:c r="K135" s="22"/>
      <x:c r="L135" s="22"/>
      <x:c r="M135" s="22"/>
      <x:c r="N135" s="28" t="n">
        <x:f>IFERROR(K135/J135,0)</x:f>
        <x:v>0</x:v>
      </x:c>
      <x:c r="O135" s="28" t="n">
        <x:f>IFERROR(M135/K135,0)</x:f>
        <x:v>0</x:v>
      </x:c>
      <x:c r="P135" s="22"/>
    </x:row>
    <x:row r="136">
      <x:c r="A136" s="22" t="str">
        <x:f>IF(B136="","","PRB-"&amp;TEXT(ROW()-2,"0000"))</x:f>
      </x:c>
      <x:c r="B136" s="22"/>
      <x:c r="C136" s="22"/>
      <x:c r="D136" s="22"/>
      <x:c r="E136" s="22"/>
      <x:c r="F136" s="26"/>
      <x:c r="G136" s="22"/>
      <x:c r="H136" s="22"/>
      <x:c r="I136" s="22"/>
      <x:c r="J136" s="22"/>
      <x:c r="K136" s="22"/>
      <x:c r="L136" s="22"/>
      <x:c r="M136" s="22"/>
      <x:c r="N136" s="28" t="n">
        <x:f>IFERROR(K136/J136,0)</x:f>
        <x:v>0</x:v>
      </x:c>
      <x:c r="O136" s="28" t="n">
        <x:f>IFERROR(M136/K136,0)</x:f>
        <x:v>0</x:v>
      </x:c>
      <x:c r="P136" s="22"/>
    </x:row>
    <x:row r="137">
      <x:c r="A137" s="22" t="str">
        <x:f>IF(B137="","","PRB-"&amp;TEXT(ROW()-2,"0000"))</x:f>
      </x:c>
      <x:c r="B137" s="22"/>
      <x:c r="C137" s="22"/>
      <x:c r="D137" s="22"/>
      <x:c r="E137" s="22"/>
      <x:c r="F137" s="26"/>
      <x:c r="G137" s="22"/>
      <x:c r="H137" s="22"/>
      <x:c r="I137" s="22"/>
      <x:c r="J137" s="22"/>
      <x:c r="K137" s="22"/>
      <x:c r="L137" s="22"/>
      <x:c r="M137" s="22"/>
      <x:c r="N137" s="28" t="n">
        <x:f>IFERROR(K137/J137,0)</x:f>
        <x:v>0</x:v>
      </x:c>
      <x:c r="O137" s="28" t="n">
        <x:f>IFERROR(M137/K137,0)</x:f>
        <x:v>0</x:v>
      </x:c>
      <x:c r="P137" s="22"/>
    </x:row>
    <x:row r="138">
      <x:c r="A138" s="22" t="str">
        <x:f>IF(B138="","","PRB-"&amp;TEXT(ROW()-2,"0000"))</x:f>
      </x:c>
      <x:c r="B138" s="22"/>
      <x:c r="C138" s="22"/>
      <x:c r="D138" s="22"/>
      <x:c r="E138" s="22"/>
      <x:c r="F138" s="26"/>
      <x:c r="G138" s="22"/>
      <x:c r="H138" s="22"/>
      <x:c r="I138" s="22"/>
      <x:c r="J138" s="22"/>
      <x:c r="K138" s="22"/>
      <x:c r="L138" s="22"/>
      <x:c r="M138" s="22"/>
      <x:c r="N138" s="28" t="n">
        <x:f>IFERROR(K138/J138,0)</x:f>
        <x:v>0</x:v>
      </x:c>
      <x:c r="O138" s="28" t="n">
        <x:f>IFERROR(M138/K138,0)</x:f>
        <x:v>0</x:v>
      </x:c>
      <x:c r="P138" s="22"/>
    </x:row>
    <x:row r="139">
      <x:c r="A139" s="22" t="str">
        <x:f>IF(B139="","","PRB-"&amp;TEXT(ROW()-2,"0000"))</x:f>
      </x:c>
      <x:c r="B139" s="22"/>
      <x:c r="C139" s="22"/>
      <x:c r="D139" s="22"/>
      <x:c r="E139" s="22"/>
      <x:c r="F139" s="26"/>
      <x:c r="G139" s="22"/>
      <x:c r="H139" s="22"/>
      <x:c r="I139" s="22"/>
      <x:c r="J139" s="22"/>
      <x:c r="K139" s="22"/>
      <x:c r="L139" s="22"/>
      <x:c r="M139" s="22"/>
      <x:c r="N139" s="28" t="n">
        <x:f>IFERROR(K139/J139,0)</x:f>
        <x:v>0</x:v>
      </x:c>
      <x:c r="O139" s="28" t="n">
        <x:f>IFERROR(M139/K139,0)</x:f>
        <x:v>0</x:v>
      </x:c>
      <x:c r="P139" s="22"/>
    </x:row>
    <x:row r="140">
      <x:c r="A140" s="22" t="str">
        <x:f>IF(B140="","","PRB-"&amp;TEXT(ROW()-2,"0000"))</x:f>
      </x:c>
      <x:c r="B140" s="22"/>
      <x:c r="C140" s="22"/>
      <x:c r="D140" s="22"/>
      <x:c r="E140" s="22"/>
      <x:c r="F140" s="26"/>
      <x:c r="G140" s="22"/>
      <x:c r="H140" s="22"/>
      <x:c r="I140" s="22"/>
      <x:c r="J140" s="22"/>
      <x:c r="K140" s="22"/>
      <x:c r="L140" s="22"/>
      <x:c r="M140" s="22"/>
      <x:c r="N140" s="28" t="n">
        <x:f>IFERROR(K140/J140,0)</x:f>
        <x:v>0</x:v>
      </x:c>
      <x:c r="O140" s="28" t="n">
        <x:f>IFERROR(M140/K140,0)</x:f>
        <x:v>0</x:v>
      </x:c>
      <x:c r="P140" s="22"/>
    </x:row>
    <x:row r="141">
      <x:c r="A141" s="22" t="str">
        <x:f>IF(B141="","","PRB-"&amp;TEXT(ROW()-2,"0000"))</x:f>
      </x:c>
      <x:c r="B141" s="22"/>
      <x:c r="C141" s="22"/>
      <x:c r="D141" s="22"/>
      <x:c r="E141" s="22"/>
      <x:c r="F141" s="26"/>
      <x:c r="G141" s="22"/>
      <x:c r="H141" s="22"/>
      <x:c r="I141" s="22"/>
      <x:c r="J141" s="22"/>
      <x:c r="K141" s="22"/>
      <x:c r="L141" s="22"/>
      <x:c r="M141" s="22"/>
      <x:c r="N141" s="28" t="n">
        <x:f>IFERROR(K141/J141,0)</x:f>
        <x:v>0</x:v>
      </x:c>
      <x:c r="O141" s="28" t="n">
        <x:f>IFERROR(M141/K141,0)</x:f>
        <x:v>0</x:v>
      </x:c>
      <x:c r="P141" s="22"/>
    </x:row>
    <x:row r="142">
      <x:c r="A142" s="22" t="str">
        <x:f>IF(B142="","","PRB-"&amp;TEXT(ROW()-2,"0000"))</x:f>
      </x:c>
      <x:c r="B142" s="22"/>
      <x:c r="C142" s="22"/>
      <x:c r="D142" s="22"/>
      <x:c r="E142" s="22"/>
      <x:c r="F142" s="26"/>
      <x:c r="G142" s="22"/>
      <x:c r="H142" s="22"/>
      <x:c r="I142" s="22"/>
      <x:c r="J142" s="22"/>
      <x:c r="K142" s="22"/>
      <x:c r="L142" s="22"/>
      <x:c r="M142" s="22"/>
      <x:c r="N142" s="28" t="n">
        <x:f>IFERROR(K142/J142,0)</x:f>
        <x:v>0</x:v>
      </x:c>
      <x:c r="O142" s="28" t="n">
        <x:f>IFERROR(M142/K142,0)</x:f>
        <x:v>0</x:v>
      </x:c>
      <x:c r="P142" s="22"/>
    </x:row>
    <x:row r="143">
      <x:c r="A143" s="22" t="str">
        <x:f>IF(B143="","","PRB-"&amp;TEXT(ROW()-2,"0000"))</x:f>
      </x:c>
      <x:c r="B143" s="22"/>
      <x:c r="C143" s="22"/>
      <x:c r="D143" s="22"/>
      <x:c r="E143" s="22"/>
      <x:c r="F143" s="26"/>
      <x:c r="G143" s="22"/>
      <x:c r="H143" s="22"/>
      <x:c r="I143" s="22"/>
      <x:c r="J143" s="22"/>
      <x:c r="K143" s="22"/>
      <x:c r="L143" s="22"/>
      <x:c r="M143" s="22"/>
      <x:c r="N143" s="28" t="n">
        <x:f>IFERROR(K143/J143,0)</x:f>
        <x:v>0</x:v>
      </x:c>
      <x:c r="O143" s="28" t="n">
        <x:f>IFERROR(M143/K143,0)</x:f>
        <x:v>0</x:v>
      </x:c>
      <x:c r="P143" s="22"/>
    </x:row>
    <x:row r="144">
      <x:c r="A144" s="22" t="str">
        <x:f>IF(B144="","","PRB-"&amp;TEXT(ROW()-2,"0000"))</x:f>
      </x:c>
      <x:c r="B144" s="22"/>
      <x:c r="C144" s="22"/>
      <x:c r="D144" s="22"/>
      <x:c r="E144" s="22"/>
      <x:c r="F144" s="26"/>
      <x:c r="G144" s="22"/>
      <x:c r="H144" s="22"/>
      <x:c r="I144" s="22"/>
      <x:c r="J144" s="22"/>
      <x:c r="K144" s="22"/>
      <x:c r="L144" s="22"/>
      <x:c r="M144" s="22"/>
      <x:c r="N144" s="28" t="n">
        <x:f>IFERROR(K144/J144,0)</x:f>
        <x:v>0</x:v>
      </x:c>
      <x:c r="O144" s="28" t="n">
        <x:f>IFERROR(M144/K144,0)</x:f>
        <x:v>0</x:v>
      </x:c>
      <x:c r="P144" s="22"/>
    </x:row>
    <x:row r="145">
      <x:c r="A145" s="22" t="str">
        <x:f>IF(B145="","","PRB-"&amp;TEXT(ROW()-2,"0000"))</x:f>
      </x:c>
      <x:c r="B145" s="22"/>
      <x:c r="C145" s="22"/>
      <x:c r="D145" s="22"/>
      <x:c r="E145" s="22"/>
      <x:c r="F145" s="26"/>
      <x:c r="G145" s="22"/>
      <x:c r="H145" s="22"/>
      <x:c r="I145" s="22"/>
      <x:c r="J145" s="22"/>
      <x:c r="K145" s="22"/>
      <x:c r="L145" s="22"/>
      <x:c r="M145" s="22"/>
      <x:c r="N145" s="28" t="n">
        <x:f>IFERROR(K145/J145,0)</x:f>
        <x:v>0</x:v>
      </x:c>
      <x:c r="O145" s="28" t="n">
        <x:f>IFERROR(M145/K145,0)</x:f>
        <x:v>0</x:v>
      </x:c>
      <x:c r="P145" s="22"/>
    </x:row>
    <x:row r="146">
      <x:c r="A146" s="22" t="str">
        <x:f>IF(B146="","","PRB-"&amp;TEXT(ROW()-2,"0000"))</x:f>
      </x:c>
      <x:c r="B146" s="22"/>
      <x:c r="C146" s="22"/>
      <x:c r="D146" s="22"/>
      <x:c r="E146" s="22"/>
      <x:c r="F146" s="26"/>
      <x:c r="G146" s="22"/>
      <x:c r="H146" s="22"/>
      <x:c r="I146" s="22"/>
      <x:c r="J146" s="22"/>
      <x:c r="K146" s="22"/>
      <x:c r="L146" s="22"/>
      <x:c r="M146" s="22"/>
      <x:c r="N146" s="28" t="n">
        <x:f>IFERROR(K146/J146,0)</x:f>
        <x:v>0</x:v>
      </x:c>
      <x:c r="O146" s="28" t="n">
        <x:f>IFERROR(M146/K146,0)</x:f>
        <x:v>0</x:v>
      </x:c>
      <x:c r="P146" s="22"/>
    </x:row>
    <x:row r="147">
      <x:c r="A147" s="22" t="str">
        <x:f>IF(B147="","","PRB-"&amp;TEXT(ROW()-2,"0000"))</x:f>
      </x:c>
      <x:c r="B147" s="22"/>
      <x:c r="C147" s="22"/>
      <x:c r="D147" s="22"/>
      <x:c r="E147" s="22"/>
      <x:c r="F147" s="26"/>
      <x:c r="G147" s="22"/>
      <x:c r="H147" s="22"/>
      <x:c r="I147" s="22"/>
      <x:c r="J147" s="22"/>
      <x:c r="K147" s="22"/>
      <x:c r="L147" s="22"/>
      <x:c r="M147" s="22"/>
      <x:c r="N147" s="28" t="n">
        <x:f>IFERROR(K147/J147,0)</x:f>
        <x:v>0</x:v>
      </x:c>
      <x:c r="O147" s="28" t="n">
        <x:f>IFERROR(M147/K147,0)</x:f>
        <x:v>0</x:v>
      </x:c>
      <x:c r="P147" s="22"/>
    </x:row>
    <x:row r="148">
      <x:c r="A148" s="22" t="str">
        <x:f>IF(B148="","","PRB-"&amp;TEXT(ROW()-2,"0000"))</x:f>
      </x:c>
      <x:c r="B148" s="22"/>
      <x:c r="C148" s="22"/>
      <x:c r="D148" s="22"/>
      <x:c r="E148" s="22"/>
      <x:c r="F148" s="26"/>
      <x:c r="G148" s="22"/>
      <x:c r="H148" s="22"/>
      <x:c r="I148" s="22"/>
      <x:c r="J148" s="22"/>
      <x:c r="K148" s="22"/>
      <x:c r="L148" s="22"/>
      <x:c r="M148" s="22"/>
      <x:c r="N148" s="28" t="n">
        <x:f>IFERROR(K148/J148,0)</x:f>
        <x:v>0</x:v>
      </x:c>
      <x:c r="O148" s="28" t="n">
        <x:f>IFERROR(M148/K148,0)</x:f>
        <x:v>0</x:v>
      </x:c>
      <x:c r="P148" s="22"/>
    </x:row>
    <x:row r="149">
      <x:c r="A149" s="22" t="str">
        <x:f>IF(B149="","","PRB-"&amp;TEXT(ROW()-2,"0000"))</x:f>
      </x:c>
      <x:c r="B149" s="22"/>
      <x:c r="C149" s="22"/>
      <x:c r="D149" s="22"/>
      <x:c r="E149" s="22"/>
      <x:c r="F149" s="26"/>
      <x:c r="G149" s="22"/>
      <x:c r="H149" s="22"/>
      <x:c r="I149" s="22"/>
      <x:c r="J149" s="22"/>
      <x:c r="K149" s="22"/>
      <x:c r="L149" s="22"/>
      <x:c r="M149" s="22"/>
      <x:c r="N149" s="28" t="n">
        <x:f>IFERROR(K149/J149,0)</x:f>
        <x:v>0</x:v>
      </x:c>
      <x:c r="O149" s="28" t="n">
        <x:f>IFERROR(M149/K149,0)</x:f>
        <x:v>0</x:v>
      </x:c>
      <x:c r="P149" s="22"/>
    </x:row>
    <x:row r="150">
      <x:c r="A150" s="22" t="str">
        <x:f>IF(B150="","","PRB-"&amp;TEXT(ROW()-2,"0000"))</x:f>
      </x:c>
      <x:c r="B150" s="22"/>
      <x:c r="C150" s="22"/>
      <x:c r="D150" s="22"/>
      <x:c r="E150" s="22"/>
      <x:c r="F150" s="26"/>
      <x:c r="G150" s="22"/>
      <x:c r="H150" s="22"/>
      <x:c r="I150" s="22"/>
      <x:c r="J150" s="22"/>
      <x:c r="K150" s="22"/>
      <x:c r="L150" s="22"/>
      <x:c r="M150" s="22"/>
      <x:c r="N150" s="28" t="n">
        <x:f>IFERROR(K150/J150,0)</x:f>
        <x:v>0</x:v>
      </x:c>
      <x:c r="O150" s="28" t="n">
        <x:f>IFERROR(M150/K150,0)</x:f>
        <x:v>0</x:v>
      </x:c>
      <x:c r="P150" s="22"/>
    </x:row>
    <x:row r="151">
      <x:c r="A151" s="22" t="str">
        <x:f>IF(B151="","","PRB-"&amp;TEXT(ROW()-2,"0000"))</x:f>
      </x:c>
      <x:c r="B151" s="22"/>
      <x:c r="C151" s="22"/>
      <x:c r="D151" s="22"/>
      <x:c r="E151" s="22"/>
      <x:c r="F151" s="26"/>
      <x:c r="G151" s="22"/>
      <x:c r="H151" s="22"/>
      <x:c r="I151" s="22"/>
      <x:c r="J151" s="22"/>
      <x:c r="K151" s="22"/>
      <x:c r="L151" s="22"/>
      <x:c r="M151" s="22"/>
      <x:c r="N151" s="28" t="n">
        <x:f>IFERROR(K151/J151,0)</x:f>
        <x:v>0</x:v>
      </x:c>
      <x:c r="O151" s="28" t="n">
        <x:f>IFERROR(M151/K151,0)</x:f>
        <x:v>0</x:v>
      </x:c>
      <x:c r="P151" s="22"/>
    </x:row>
    <x:row r="152">
      <x:c r="A152" s="22" t="str">
        <x:f>IF(B152="","","PRB-"&amp;TEXT(ROW()-2,"0000"))</x:f>
      </x:c>
      <x:c r="B152" s="22"/>
      <x:c r="C152" s="22"/>
      <x:c r="D152" s="22"/>
      <x:c r="E152" s="22"/>
      <x:c r="F152" s="26"/>
      <x:c r="G152" s="22"/>
      <x:c r="H152" s="22"/>
      <x:c r="I152" s="22"/>
      <x:c r="J152" s="22"/>
      <x:c r="K152" s="22"/>
      <x:c r="L152" s="22"/>
      <x:c r="M152" s="22"/>
      <x:c r="N152" s="28" t="n">
        <x:f>IFERROR(K152/J152,0)</x:f>
        <x:v>0</x:v>
      </x:c>
      <x:c r="O152" s="28" t="n">
        <x:f>IFERROR(M152/K152,0)</x:f>
        <x:v>0</x:v>
      </x:c>
      <x:c r="P152" s="22"/>
    </x:row>
    <x:row r="153">
      <x:c r="A153" s="22" t="str">
        <x:f>IF(B153="","","PRB-"&amp;TEXT(ROW()-2,"0000"))</x:f>
      </x:c>
      <x:c r="B153" s="22"/>
      <x:c r="C153" s="22"/>
      <x:c r="D153" s="22"/>
      <x:c r="E153" s="22"/>
      <x:c r="F153" s="26"/>
      <x:c r="G153" s="22"/>
      <x:c r="H153" s="22"/>
      <x:c r="I153" s="22"/>
      <x:c r="J153" s="22"/>
      <x:c r="K153" s="22"/>
      <x:c r="L153" s="22"/>
      <x:c r="M153" s="22"/>
      <x:c r="N153" s="28" t="n">
        <x:f>IFERROR(K153/J153,0)</x:f>
        <x:v>0</x:v>
      </x:c>
      <x:c r="O153" s="28" t="n">
        <x:f>IFERROR(M153/K153,0)</x:f>
        <x:v>0</x:v>
      </x:c>
      <x:c r="P153" s="22"/>
    </x:row>
    <x:row r="154">
      <x:c r="A154" s="22" t="str">
        <x:f>IF(B154="","","PRB-"&amp;TEXT(ROW()-2,"0000"))</x:f>
      </x:c>
      <x:c r="B154" s="22"/>
      <x:c r="C154" s="22"/>
      <x:c r="D154" s="22"/>
      <x:c r="E154" s="22"/>
      <x:c r="F154" s="26"/>
      <x:c r="G154" s="22"/>
      <x:c r="H154" s="22"/>
      <x:c r="I154" s="22"/>
      <x:c r="J154" s="22"/>
      <x:c r="K154" s="22"/>
      <x:c r="L154" s="22"/>
      <x:c r="M154" s="22"/>
      <x:c r="N154" s="28" t="n">
        <x:f>IFERROR(K154/J154,0)</x:f>
        <x:v>0</x:v>
      </x:c>
      <x:c r="O154" s="28" t="n">
        <x:f>IFERROR(M154/K154,0)</x:f>
        <x:v>0</x:v>
      </x:c>
      <x:c r="P154" s="22"/>
    </x:row>
    <x:row r="155">
      <x:c r="A155" s="22" t="str">
        <x:f>IF(B155="","","PRB-"&amp;TEXT(ROW()-2,"0000"))</x:f>
      </x:c>
      <x:c r="B155" s="22"/>
      <x:c r="C155" s="22"/>
      <x:c r="D155" s="22"/>
      <x:c r="E155" s="22"/>
      <x:c r="F155" s="26"/>
      <x:c r="G155" s="22"/>
      <x:c r="H155" s="22"/>
      <x:c r="I155" s="22"/>
      <x:c r="J155" s="22"/>
      <x:c r="K155" s="22"/>
      <x:c r="L155" s="22"/>
      <x:c r="M155" s="22"/>
      <x:c r="N155" s="28" t="n">
        <x:f>IFERROR(K155/J155,0)</x:f>
        <x:v>0</x:v>
      </x:c>
      <x:c r="O155" s="28" t="n">
        <x:f>IFERROR(M155/K155,0)</x:f>
        <x:v>0</x:v>
      </x:c>
      <x:c r="P155" s="22"/>
    </x:row>
    <x:row r="156">
      <x:c r="A156" s="22" t="str">
        <x:f>IF(B156="","","PRB-"&amp;TEXT(ROW()-2,"0000"))</x:f>
      </x:c>
      <x:c r="B156" s="22"/>
      <x:c r="C156" s="22"/>
      <x:c r="D156" s="22"/>
      <x:c r="E156" s="22"/>
      <x:c r="F156" s="26"/>
      <x:c r="G156" s="22"/>
      <x:c r="H156" s="22"/>
      <x:c r="I156" s="22"/>
      <x:c r="J156" s="22"/>
      <x:c r="K156" s="22"/>
      <x:c r="L156" s="22"/>
      <x:c r="M156" s="22"/>
      <x:c r="N156" s="28" t="n">
        <x:f>IFERROR(K156/J156,0)</x:f>
        <x:v>0</x:v>
      </x:c>
      <x:c r="O156" s="28" t="n">
        <x:f>IFERROR(M156/K156,0)</x:f>
        <x:v>0</x:v>
      </x:c>
      <x:c r="P156" s="22"/>
    </x:row>
    <x:row r="157">
      <x:c r="A157" s="22" t="str">
        <x:f>IF(B157="","","PRB-"&amp;TEXT(ROW()-2,"0000"))</x:f>
      </x:c>
      <x:c r="B157" s="22"/>
      <x:c r="C157" s="22"/>
      <x:c r="D157" s="22"/>
      <x:c r="E157" s="22"/>
      <x:c r="F157" s="26"/>
      <x:c r="G157" s="22"/>
      <x:c r="H157" s="22"/>
      <x:c r="I157" s="22"/>
      <x:c r="J157" s="22"/>
      <x:c r="K157" s="22"/>
      <x:c r="L157" s="22"/>
      <x:c r="M157" s="22"/>
      <x:c r="N157" s="28" t="n">
        <x:f>IFERROR(K157/J157,0)</x:f>
        <x:v>0</x:v>
      </x:c>
      <x:c r="O157" s="28" t="n">
        <x:f>IFERROR(M157/K157,0)</x:f>
        <x:v>0</x:v>
      </x:c>
      <x:c r="P157" s="22"/>
    </x:row>
    <x:row r="158">
      <x:c r="A158" s="22" t="str">
        <x:f>IF(B158="","","PRB-"&amp;TEXT(ROW()-2,"0000"))</x:f>
      </x:c>
      <x:c r="B158" s="22"/>
      <x:c r="C158" s="22"/>
      <x:c r="D158" s="22"/>
      <x:c r="E158" s="22"/>
      <x:c r="F158" s="26"/>
      <x:c r="G158" s="22"/>
      <x:c r="H158" s="22"/>
      <x:c r="I158" s="22"/>
      <x:c r="J158" s="22"/>
      <x:c r="K158" s="22"/>
      <x:c r="L158" s="22"/>
      <x:c r="M158" s="22"/>
      <x:c r="N158" s="28" t="n">
        <x:f>IFERROR(K158/J158,0)</x:f>
        <x:v>0</x:v>
      </x:c>
      <x:c r="O158" s="28" t="n">
        <x:f>IFERROR(M158/K158,0)</x:f>
        <x:v>0</x:v>
      </x:c>
      <x:c r="P158" s="22"/>
    </x:row>
    <x:row r="159">
      <x:c r="A159" s="22" t="str">
        <x:f>IF(B159="","","PRB-"&amp;TEXT(ROW()-2,"0000"))</x:f>
      </x:c>
      <x:c r="B159" s="22"/>
      <x:c r="C159" s="22"/>
      <x:c r="D159" s="22"/>
      <x:c r="E159" s="22"/>
      <x:c r="F159" s="26"/>
      <x:c r="G159" s="22"/>
      <x:c r="H159" s="22"/>
      <x:c r="I159" s="22"/>
      <x:c r="J159" s="22"/>
      <x:c r="K159" s="22"/>
      <x:c r="L159" s="22"/>
      <x:c r="M159" s="22"/>
      <x:c r="N159" s="28" t="n">
        <x:f>IFERROR(K159/J159,0)</x:f>
        <x:v>0</x:v>
      </x:c>
      <x:c r="O159" s="28" t="n">
        <x:f>IFERROR(M159/K159,0)</x:f>
        <x:v>0</x:v>
      </x:c>
      <x:c r="P159" s="22"/>
    </x:row>
    <x:row r="160">
      <x:c r="A160" s="22" t="str">
        <x:f>IF(B160="","","PRB-"&amp;TEXT(ROW()-2,"0000"))</x:f>
      </x:c>
      <x:c r="B160" s="22"/>
      <x:c r="C160" s="22"/>
      <x:c r="D160" s="22"/>
      <x:c r="E160" s="22"/>
      <x:c r="F160" s="26"/>
      <x:c r="G160" s="22"/>
      <x:c r="H160" s="22"/>
      <x:c r="I160" s="22"/>
      <x:c r="J160" s="22"/>
      <x:c r="K160" s="22"/>
      <x:c r="L160" s="22"/>
      <x:c r="M160" s="22"/>
      <x:c r="N160" s="28" t="n">
        <x:f>IFERROR(K160/J160,0)</x:f>
        <x:v>0</x:v>
      </x:c>
      <x:c r="O160" s="28" t="n">
        <x:f>IFERROR(M160/K160,0)</x:f>
        <x:v>0</x:v>
      </x:c>
      <x:c r="P160" s="22"/>
    </x:row>
    <x:row r="161">
      <x:c r="A161" s="22" t="str">
        <x:f>IF(B161="","","PRB-"&amp;TEXT(ROW()-2,"0000"))</x:f>
      </x:c>
      <x:c r="B161" s="22"/>
      <x:c r="C161" s="22"/>
      <x:c r="D161" s="22"/>
      <x:c r="E161" s="22"/>
      <x:c r="F161" s="26"/>
      <x:c r="G161" s="22"/>
      <x:c r="H161" s="22"/>
      <x:c r="I161" s="22"/>
      <x:c r="J161" s="22"/>
      <x:c r="K161" s="22"/>
      <x:c r="L161" s="22"/>
      <x:c r="M161" s="22"/>
      <x:c r="N161" s="28" t="n">
        <x:f>IFERROR(K161/J161,0)</x:f>
        <x:v>0</x:v>
      </x:c>
      <x:c r="O161" s="28" t="n">
        <x:f>IFERROR(M161/K161,0)</x:f>
        <x:v>0</x:v>
      </x:c>
      <x:c r="P161" s="22"/>
    </x:row>
    <x:row r="162">
      <x:c r="A162" s="22" t="str">
        <x:f>IF(B162="","","PRB-"&amp;TEXT(ROW()-2,"0000"))</x:f>
      </x:c>
      <x:c r="B162" s="22"/>
      <x:c r="C162" s="22"/>
      <x:c r="D162" s="22"/>
      <x:c r="E162" s="22"/>
      <x:c r="F162" s="26"/>
      <x:c r="G162" s="22"/>
      <x:c r="H162" s="22"/>
      <x:c r="I162" s="22"/>
      <x:c r="J162" s="22"/>
      <x:c r="K162" s="22"/>
      <x:c r="L162" s="22"/>
      <x:c r="M162" s="22"/>
      <x:c r="N162" s="28" t="n">
        <x:f>IFERROR(K162/J162,0)</x:f>
        <x:v>0</x:v>
      </x:c>
      <x:c r="O162" s="28" t="n">
        <x:f>IFERROR(M162/K162,0)</x:f>
        <x:v>0</x:v>
      </x:c>
      <x:c r="P162" s="22"/>
    </x:row>
    <x:row r="163">
      <x:c r="A163" s="22" t="str">
        <x:f>IF(B163="","","PRB-"&amp;TEXT(ROW()-2,"0000"))</x:f>
      </x:c>
      <x:c r="B163" s="22"/>
      <x:c r="C163" s="22"/>
      <x:c r="D163" s="22"/>
      <x:c r="E163" s="22"/>
      <x:c r="F163" s="26"/>
      <x:c r="G163" s="22"/>
      <x:c r="H163" s="22"/>
      <x:c r="I163" s="22"/>
      <x:c r="J163" s="22"/>
      <x:c r="K163" s="22"/>
      <x:c r="L163" s="22"/>
      <x:c r="M163" s="22"/>
      <x:c r="N163" s="28" t="n">
        <x:f>IFERROR(K163/J163,0)</x:f>
        <x:v>0</x:v>
      </x:c>
      <x:c r="O163" s="28" t="n">
        <x:f>IFERROR(M163/K163,0)</x:f>
        <x:v>0</x:v>
      </x:c>
      <x:c r="P163" s="22"/>
    </x:row>
    <x:row r="164">
      <x:c r="A164" s="22" t="str">
        <x:f>IF(B164="","","PRB-"&amp;TEXT(ROW()-2,"0000"))</x:f>
      </x:c>
      <x:c r="B164" s="22"/>
      <x:c r="C164" s="22"/>
      <x:c r="D164" s="22"/>
      <x:c r="E164" s="22"/>
      <x:c r="F164" s="26"/>
      <x:c r="G164" s="22"/>
      <x:c r="H164" s="22"/>
      <x:c r="I164" s="22"/>
      <x:c r="J164" s="22"/>
      <x:c r="K164" s="22"/>
      <x:c r="L164" s="22"/>
      <x:c r="M164" s="22"/>
      <x:c r="N164" s="28" t="n">
        <x:f>IFERROR(K164/J164,0)</x:f>
        <x:v>0</x:v>
      </x:c>
      <x:c r="O164" s="28" t="n">
        <x:f>IFERROR(M164/K164,0)</x:f>
        <x:v>0</x:v>
      </x:c>
      <x:c r="P164" s="22"/>
    </x:row>
    <x:row r="165">
      <x:c r="A165" s="22" t="str">
        <x:f>IF(B165="","","PRB-"&amp;TEXT(ROW()-2,"0000"))</x:f>
      </x:c>
      <x:c r="B165" s="22"/>
      <x:c r="C165" s="22"/>
      <x:c r="D165" s="22"/>
      <x:c r="E165" s="22"/>
      <x:c r="F165" s="26"/>
      <x:c r="G165" s="22"/>
      <x:c r="H165" s="22"/>
      <x:c r="I165" s="22"/>
      <x:c r="J165" s="22"/>
      <x:c r="K165" s="22"/>
      <x:c r="L165" s="22"/>
      <x:c r="M165" s="22"/>
      <x:c r="N165" s="28" t="n">
        <x:f>IFERROR(K165/J165,0)</x:f>
        <x:v>0</x:v>
      </x:c>
      <x:c r="O165" s="28" t="n">
        <x:f>IFERROR(M165/K165,0)</x:f>
        <x:v>0</x:v>
      </x:c>
      <x:c r="P165" s="22"/>
    </x:row>
    <x:row r="166">
      <x:c r="A166" s="22" t="str">
        <x:f>IF(B166="","","PRB-"&amp;TEXT(ROW()-2,"0000"))</x:f>
      </x:c>
      <x:c r="B166" s="22"/>
      <x:c r="C166" s="22"/>
      <x:c r="D166" s="22"/>
      <x:c r="E166" s="22"/>
      <x:c r="F166" s="26"/>
      <x:c r="G166" s="22"/>
      <x:c r="H166" s="22"/>
      <x:c r="I166" s="22"/>
      <x:c r="J166" s="22"/>
      <x:c r="K166" s="22"/>
      <x:c r="L166" s="22"/>
      <x:c r="M166" s="22"/>
      <x:c r="N166" s="28" t="n">
        <x:f>IFERROR(K166/J166,0)</x:f>
        <x:v>0</x:v>
      </x:c>
      <x:c r="O166" s="28" t="n">
        <x:f>IFERROR(M166/K166,0)</x:f>
        <x:v>0</x:v>
      </x:c>
      <x:c r="P166" s="22"/>
    </x:row>
    <x:row r="167">
      <x:c r="A167" s="22" t="str">
        <x:f>IF(B167="","","PRB-"&amp;TEXT(ROW()-2,"0000"))</x:f>
      </x:c>
      <x:c r="B167" s="22"/>
      <x:c r="C167" s="22"/>
      <x:c r="D167" s="22"/>
      <x:c r="E167" s="22"/>
      <x:c r="F167" s="26"/>
      <x:c r="G167" s="22"/>
      <x:c r="H167" s="22"/>
      <x:c r="I167" s="22"/>
      <x:c r="J167" s="22"/>
      <x:c r="K167" s="22"/>
      <x:c r="L167" s="22"/>
      <x:c r="M167" s="22"/>
      <x:c r="N167" s="28" t="n">
        <x:f>IFERROR(K167/J167,0)</x:f>
        <x:v>0</x:v>
      </x:c>
      <x:c r="O167" s="28" t="n">
        <x:f>IFERROR(M167/K167,0)</x:f>
        <x:v>0</x:v>
      </x:c>
      <x:c r="P167" s="22"/>
    </x:row>
    <x:row r="168">
      <x:c r="A168" s="22" t="str">
        <x:f>IF(B168="","","PRB-"&amp;TEXT(ROW()-2,"0000"))</x:f>
      </x:c>
      <x:c r="B168" s="22"/>
      <x:c r="C168" s="22"/>
      <x:c r="D168" s="22"/>
      <x:c r="E168" s="22"/>
      <x:c r="F168" s="26"/>
      <x:c r="G168" s="22"/>
      <x:c r="H168" s="22"/>
      <x:c r="I168" s="22"/>
      <x:c r="J168" s="22"/>
      <x:c r="K168" s="22"/>
      <x:c r="L168" s="22"/>
      <x:c r="M168" s="22"/>
      <x:c r="N168" s="28" t="n">
        <x:f>IFERROR(K168/J168,0)</x:f>
        <x:v>0</x:v>
      </x:c>
      <x:c r="O168" s="28" t="n">
        <x:f>IFERROR(M168/K168,0)</x:f>
        <x:v>0</x:v>
      </x:c>
      <x:c r="P168" s="22"/>
    </x:row>
    <x:row r="169">
      <x:c r="A169" s="22" t="str">
        <x:f>IF(B169="","","PRB-"&amp;TEXT(ROW()-2,"0000"))</x:f>
      </x:c>
      <x:c r="B169" s="22"/>
      <x:c r="C169" s="22"/>
      <x:c r="D169" s="22"/>
      <x:c r="E169" s="22"/>
      <x:c r="F169" s="26"/>
      <x:c r="G169" s="22"/>
      <x:c r="H169" s="22"/>
      <x:c r="I169" s="22"/>
      <x:c r="J169" s="22"/>
      <x:c r="K169" s="22"/>
      <x:c r="L169" s="22"/>
      <x:c r="M169" s="22"/>
      <x:c r="N169" s="28" t="n">
        <x:f>IFERROR(K169/J169,0)</x:f>
        <x:v>0</x:v>
      </x:c>
      <x:c r="O169" s="28" t="n">
        <x:f>IFERROR(M169/K169,0)</x:f>
        <x:v>0</x:v>
      </x:c>
      <x:c r="P169" s="22"/>
    </x:row>
    <x:row r="170">
      <x:c r="A170" s="22" t="str">
        <x:f>IF(B170="","","PRB-"&amp;TEXT(ROW()-2,"0000"))</x:f>
      </x:c>
      <x:c r="B170" s="22"/>
      <x:c r="C170" s="22"/>
      <x:c r="D170" s="22"/>
      <x:c r="E170" s="22"/>
      <x:c r="F170" s="26"/>
      <x:c r="G170" s="22"/>
      <x:c r="H170" s="22"/>
      <x:c r="I170" s="22"/>
      <x:c r="J170" s="22"/>
      <x:c r="K170" s="22"/>
      <x:c r="L170" s="22"/>
      <x:c r="M170" s="22"/>
      <x:c r="N170" s="28" t="n">
        <x:f>IFERROR(K170/J170,0)</x:f>
        <x:v>0</x:v>
      </x:c>
      <x:c r="O170" s="28" t="n">
        <x:f>IFERROR(M170/K170,0)</x:f>
        <x:v>0</x:v>
      </x:c>
      <x:c r="P170" s="22"/>
    </x:row>
    <x:row r="171">
      <x:c r="A171" s="22" t="str">
        <x:f>IF(B171="","","PRB-"&amp;TEXT(ROW()-2,"0000"))</x:f>
      </x:c>
      <x:c r="B171" s="22"/>
      <x:c r="C171" s="22"/>
      <x:c r="D171" s="22"/>
      <x:c r="E171" s="22"/>
      <x:c r="F171" s="26"/>
      <x:c r="G171" s="22"/>
      <x:c r="H171" s="22"/>
      <x:c r="I171" s="22"/>
      <x:c r="J171" s="22"/>
      <x:c r="K171" s="22"/>
      <x:c r="L171" s="22"/>
      <x:c r="M171" s="22"/>
      <x:c r="N171" s="28" t="n">
        <x:f>IFERROR(K171/J171,0)</x:f>
        <x:v>0</x:v>
      </x:c>
      <x:c r="O171" s="28" t="n">
        <x:f>IFERROR(M171/K171,0)</x:f>
        <x:v>0</x:v>
      </x:c>
      <x:c r="P171" s="22"/>
    </x:row>
    <x:row r="172">
      <x:c r="A172" s="22" t="str">
        <x:f>IF(B172="","","PRB-"&amp;TEXT(ROW()-2,"0000"))</x:f>
      </x:c>
      <x:c r="B172" s="22"/>
      <x:c r="C172" s="22"/>
      <x:c r="D172" s="22"/>
      <x:c r="E172" s="22"/>
      <x:c r="F172" s="26"/>
      <x:c r="G172" s="22"/>
      <x:c r="H172" s="22"/>
      <x:c r="I172" s="22"/>
      <x:c r="J172" s="22"/>
      <x:c r="K172" s="22"/>
      <x:c r="L172" s="22"/>
      <x:c r="M172" s="22"/>
      <x:c r="N172" s="28" t="n">
        <x:f>IFERROR(K172/J172,0)</x:f>
        <x:v>0</x:v>
      </x:c>
      <x:c r="O172" s="28" t="n">
        <x:f>IFERROR(M172/K172,0)</x:f>
        <x:v>0</x:v>
      </x:c>
      <x:c r="P172" s="22"/>
    </x:row>
    <x:row r="173">
      <x:c r="A173" s="22" t="str">
        <x:f>IF(B173="","","PRB-"&amp;TEXT(ROW()-2,"0000"))</x:f>
      </x:c>
      <x:c r="B173" s="22"/>
      <x:c r="C173" s="22"/>
      <x:c r="D173" s="22"/>
      <x:c r="E173" s="22"/>
      <x:c r="F173" s="26"/>
      <x:c r="G173" s="22"/>
      <x:c r="H173" s="22"/>
      <x:c r="I173" s="22"/>
      <x:c r="J173" s="22"/>
      <x:c r="K173" s="22"/>
      <x:c r="L173" s="22"/>
      <x:c r="M173" s="22"/>
      <x:c r="N173" s="28" t="n">
        <x:f>IFERROR(K173/J173,0)</x:f>
        <x:v>0</x:v>
      </x:c>
      <x:c r="O173" s="28" t="n">
        <x:f>IFERROR(M173/K173,0)</x:f>
        <x:v>0</x:v>
      </x:c>
      <x:c r="P173" s="22"/>
    </x:row>
    <x:row r="174">
      <x:c r="A174" s="22" t="str">
        <x:f>IF(B174="","","PRB-"&amp;TEXT(ROW()-2,"0000"))</x:f>
      </x:c>
      <x:c r="B174" s="22"/>
      <x:c r="C174" s="22"/>
      <x:c r="D174" s="22"/>
      <x:c r="E174" s="22"/>
      <x:c r="F174" s="26"/>
      <x:c r="G174" s="22"/>
      <x:c r="H174" s="22"/>
      <x:c r="I174" s="22"/>
      <x:c r="J174" s="22"/>
      <x:c r="K174" s="22"/>
      <x:c r="L174" s="22"/>
      <x:c r="M174" s="22"/>
      <x:c r="N174" s="28" t="n">
        <x:f>IFERROR(K174/J174,0)</x:f>
        <x:v>0</x:v>
      </x:c>
      <x:c r="O174" s="28" t="n">
        <x:f>IFERROR(M174/K174,0)</x:f>
        <x:v>0</x:v>
      </x:c>
      <x:c r="P174" s="22"/>
    </x:row>
    <x:row r="175">
      <x:c r="A175" s="22" t="str">
        <x:f>IF(B175="","","PRB-"&amp;TEXT(ROW()-2,"0000"))</x:f>
      </x:c>
      <x:c r="B175" s="22"/>
      <x:c r="C175" s="22"/>
      <x:c r="D175" s="22"/>
      <x:c r="E175" s="22"/>
      <x:c r="F175" s="26"/>
      <x:c r="G175" s="22"/>
      <x:c r="H175" s="22"/>
      <x:c r="I175" s="22"/>
      <x:c r="J175" s="22"/>
      <x:c r="K175" s="22"/>
      <x:c r="L175" s="22"/>
      <x:c r="M175" s="22"/>
      <x:c r="N175" s="28" t="n">
        <x:f>IFERROR(K175/J175,0)</x:f>
        <x:v>0</x:v>
      </x:c>
      <x:c r="O175" s="28" t="n">
        <x:f>IFERROR(M175/K175,0)</x:f>
        <x:v>0</x:v>
      </x:c>
      <x:c r="P175" s="22"/>
    </x:row>
    <x:row r="176">
      <x:c r="A176" s="22" t="str">
        <x:f>IF(B176="","","PRB-"&amp;TEXT(ROW()-2,"0000"))</x:f>
      </x:c>
      <x:c r="B176" s="22"/>
      <x:c r="C176" s="22"/>
      <x:c r="D176" s="22"/>
      <x:c r="E176" s="22"/>
      <x:c r="F176" s="26"/>
      <x:c r="G176" s="22"/>
      <x:c r="H176" s="22"/>
      <x:c r="I176" s="22"/>
      <x:c r="J176" s="22"/>
      <x:c r="K176" s="22"/>
      <x:c r="L176" s="22"/>
      <x:c r="M176" s="22"/>
      <x:c r="N176" s="28" t="n">
        <x:f>IFERROR(K176/J176,0)</x:f>
        <x:v>0</x:v>
      </x:c>
      <x:c r="O176" s="28" t="n">
        <x:f>IFERROR(M176/K176,0)</x:f>
        <x:v>0</x:v>
      </x:c>
      <x:c r="P176" s="22"/>
    </x:row>
    <x:row r="177">
      <x:c r="A177" s="22" t="str">
        <x:f>IF(B177="","","PRB-"&amp;TEXT(ROW()-2,"0000"))</x:f>
      </x:c>
      <x:c r="B177" s="22"/>
      <x:c r="C177" s="22"/>
      <x:c r="D177" s="22"/>
      <x:c r="E177" s="22"/>
      <x:c r="F177" s="26"/>
      <x:c r="G177" s="22"/>
      <x:c r="H177" s="22"/>
      <x:c r="I177" s="22"/>
      <x:c r="J177" s="22"/>
      <x:c r="K177" s="22"/>
      <x:c r="L177" s="22"/>
      <x:c r="M177" s="22"/>
      <x:c r="N177" s="28" t="n">
        <x:f>IFERROR(K177/J177,0)</x:f>
        <x:v>0</x:v>
      </x:c>
      <x:c r="O177" s="28" t="n">
        <x:f>IFERROR(M177/K177,0)</x:f>
        <x:v>0</x:v>
      </x:c>
      <x:c r="P177" s="22"/>
    </x:row>
    <x:row r="178">
      <x:c r="A178" s="22" t="str">
        <x:f>IF(B178="","","PRB-"&amp;TEXT(ROW()-2,"0000"))</x:f>
      </x:c>
      <x:c r="B178" s="22"/>
      <x:c r="C178" s="22"/>
      <x:c r="D178" s="22"/>
      <x:c r="E178" s="22"/>
      <x:c r="F178" s="26"/>
      <x:c r="G178" s="22"/>
      <x:c r="H178" s="22"/>
      <x:c r="I178" s="22"/>
      <x:c r="J178" s="22"/>
      <x:c r="K178" s="22"/>
      <x:c r="L178" s="22"/>
      <x:c r="M178" s="22"/>
      <x:c r="N178" s="28" t="n">
        <x:f>IFERROR(K178/J178,0)</x:f>
        <x:v>0</x:v>
      </x:c>
      <x:c r="O178" s="28" t="n">
        <x:f>IFERROR(M178/K178,0)</x:f>
        <x:v>0</x:v>
      </x:c>
      <x:c r="P178" s="22"/>
    </x:row>
    <x:row r="179">
      <x:c r="A179" s="22" t="str">
        <x:f>IF(B179="","","PRB-"&amp;TEXT(ROW()-2,"0000"))</x:f>
      </x:c>
      <x:c r="B179" s="22"/>
      <x:c r="C179" s="22"/>
      <x:c r="D179" s="22"/>
      <x:c r="E179" s="22"/>
      <x:c r="F179" s="26"/>
      <x:c r="G179" s="22"/>
      <x:c r="H179" s="22"/>
      <x:c r="I179" s="22"/>
      <x:c r="J179" s="22"/>
      <x:c r="K179" s="22"/>
      <x:c r="L179" s="22"/>
      <x:c r="M179" s="22"/>
      <x:c r="N179" s="28" t="n">
        <x:f>IFERROR(K179/J179,0)</x:f>
        <x:v>0</x:v>
      </x:c>
      <x:c r="O179" s="28" t="n">
        <x:f>IFERROR(M179/K179,0)</x:f>
        <x:v>0</x:v>
      </x:c>
      <x:c r="P179" s="22"/>
    </x:row>
    <x:row r="180">
      <x:c r="A180" s="22" t="str">
        <x:f>IF(B180="","","PRB-"&amp;TEXT(ROW()-2,"0000"))</x:f>
      </x:c>
      <x:c r="B180" s="22"/>
      <x:c r="C180" s="22"/>
      <x:c r="D180" s="22"/>
      <x:c r="E180" s="22"/>
      <x:c r="F180" s="26"/>
      <x:c r="G180" s="22"/>
      <x:c r="H180" s="22"/>
      <x:c r="I180" s="22"/>
      <x:c r="J180" s="22"/>
      <x:c r="K180" s="22"/>
      <x:c r="L180" s="22"/>
      <x:c r="M180" s="22"/>
      <x:c r="N180" s="28" t="n">
        <x:f>IFERROR(K180/J180,0)</x:f>
        <x:v>0</x:v>
      </x:c>
      <x:c r="O180" s="28" t="n">
        <x:f>IFERROR(M180/K180,0)</x:f>
        <x:v>0</x:v>
      </x:c>
      <x:c r="P180" s="22"/>
    </x:row>
    <x:row r="181">
      <x:c r="A181" s="22" t="str">
        <x:f>IF(B181="","","PRB-"&amp;TEXT(ROW()-2,"0000"))</x:f>
      </x:c>
      <x:c r="B181" s="22"/>
      <x:c r="C181" s="22"/>
      <x:c r="D181" s="22"/>
      <x:c r="E181" s="22"/>
      <x:c r="F181" s="26"/>
      <x:c r="G181" s="22"/>
      <x:c r="H181" s="22"/>
      <x:c r="I181" s="22"/>
      <x:c r="J181" s="22"/>
      <x:c r="K181" s="22"/>
      <x:c r="L181" s="22"/>
      <x:c r="M181" s="22"/>
      <x:c r="N181" s="28" t="n">
        <x:f>IFERROR(K181/J181,0)</x:f>
        <x:v>0</x:v>
      </x:c>
      <x:c r="O181" s="28" t="n">
        <x:f>IFERROR(M181/K181,0)</x:f>
        <x:v>0</x:v>
      </x:c>
      <x:c r="P181" s="22"/>
    </x:row>
    <x:row r="182">
      <x:c r="A182" s="22" t="str">
        <x:f>IF(B182="","","PRB-"&amp;TEXT(ROW()-2,"0000"))</x:f>
      </x:c>
      <x:c r="B182" s="22"/>
      <x:c r="C182" s="22"/>
      <x:c r="D182" s="22"/>
      <x:c r="E182" s="22"/>
      <x:c r="F182" s="26"/>
      <x:c r="G182" s="22"/>
      <x:c r="H182" s="22"/>
      <x:c r="I182" s="22"/>
      <x:c r="J182" s="22"/>
      <x:c r="K182" s="22"/>
      <x:c r="L182" s="22"/>
      <x:c r="M182" s="22"/>
      <x:c r="N182" s="28" t="n">
        <x:f>IFERROR(K182/J182,0)</x:f>
        <x:v>0</x:v>
      </x:c>
      <x:c r="O182" s="28" t="n">
        <x:f>IFERROR(M182/K182,0)</x:f>
        <x:v>0</x:v>
      </x:c>
      <x:c r="P182" s="22"/>
    </x:row>
    <x:row r="183">
      <x:c r="A183" s="22" t="str">
        <x:f>IF(B183="","","PRB-"&amp;TEXT(ROW()-2,"0000"))</x:f>
      </x:c>
      <x:c r="B183" s="22"/>
      <x:c r="C183" s="22"/>
      <x:c r="D183" s="22"/>
      <x:c r="E183" s="22"/>
      <x:c r="F183" s="26"/>
      <x:c r="G183" s="22"/>
      <x:c r="H183" s="22"/>
      <x:c r="I183" s="22"/>
      <x:c r="J183" s="22"/>
      <x:c r="K183" s="22"/>
      <x:c r="L183" s="22"/>
      <x:c r="M183" s="22"/>
      <x:c r="N183" s="28" t="n">
        <x:f>IFERROR(K183/J183,0)</x:f>
        <x:v>0</x:v>
      </x:c>
      <x:c r="O183" s="28" t="n">
        <x:f>IFERROR(M183/K183,0)</x:f>
        <x:v>0</x:v>
      </x:c>
      <x:c r="P183" s="22"/>
    </x:row>
    <x:row r="184">
      <x:c r="A184" s="22" t="str">
        <x:f>IF(B184="","","PRB-"&amp;TEXT(ROW()-2,"0000"))</x:f>
      </x:c>
      <x:c r="B184" s="22"/>
      <x:c r="C184" s="22"/>
      <x:c r="D184" s="22"/>
      <x:c r="E184" s="22"/>
      <x:c r="F184" s="26"/>
      <x:c r="G184" s="22"/>
      <x:c r="H184" s="22"/>
      <x:c r="I184" s="22"/>
      <x:c r="J184" s="22"/>
      <x:c r="K184" s="22"/>
      <x:c r="L184" s="22"/>
      <x:c r="M184" s="22"/>
      <x:c r="N184" s="28" t="n">
        <x:f>IFERROR(K184/J184,0)</x:f>
        <x:v>0</x:v>
      </x:c>
      <x:c r="O184" s="28" t="n">
        <x:f>IFERROR(M184/K184,0)</x:f>
        <x:v>0</x:v>
      </x:c>
      <x:c r="P184" s="22"/>
    </x:row>
    <x:row r="185">
      <x:c r="A185" s="22" t="str">
        <x:f>IF(B185="","","PRB-"&amp;TEXT(ROW()-2,"0000"))</x:f>
      </x:c>
      <x:c r="B185" s="22"/>
      <x:c r="C185" s="22"/>
      <x:c r="D185" s="22"/>
      <x:c r="E185" s="22"/>
      <x:c r="F185" s="26"/>
      <x:c r="G185" s="22"/>
      <x:c r="H185" s="22"/>
      <x:c r="I185" s="22"/>
      <x:c r="J185" s="22"/>
      <x:c r="K185" s="22"/>
      <x:c r="L185" s="22"/>
      <x:c r="M185" s="22"/>
      <x:c r="N185" s="28" t="n">
        <x:f>IFERROR(K185/J185,0)</x:f>
        <x:v>0</x:v>
      </x:c>
      <x:c r="O185" s="28" t="n">
        <x:f>IFERROR(M185/K185,0)</x:f>
        <x:v>0</x:v>
      </x:c>
      <x:c r="P185" s="22"/>
    </x:row>
    <x:row r="186">
      <x:c r="A186" s="22" t="str">
        <x:f>IF(B186="","","PRB-"&amp;TEXT(ROW()-2,"0000"))</x:f>
      </x:c>
      <x:c r="B186" s="22"/>
      <x:c r="C186" s="22"/>
      <x:c r="D186" s="22"/>
      <x:c r="E186" s="22"/>
      <x:c r="F186" s="26"/>
      <x:c r="G186" s="22"/>
      <x:c r="H186" s="22"/>
      <x:c r="I186" s="22"/>
      <x:c r="J186" s="22"/>
      <x:c r="K186" s="22"/>
      <x:c r="L186" s="22"/>
      <x:c r="M186" s="22"/>
      <x:c r="N186" s="28" t="n">
        <x:f>IFERROR(K186/J186,0)</x:f>
        <x:v>0</x:v>
      </x:c>
      <x:c r="O186" s="28" t="n">
        <x:f>IFERROR(M186/K186,0)</x:f>
        <x:v>0</x:v>
      </x:c>
      <x:c r="P186" s="22"/>
    </x:row>
    <x:row r="187">
      <x:c r="A187" s="22" t="str">
        <x:f>IF(B187="","","PRB-"&amp;TEXT(ROW()-2,"0000"))</x:f>
      </x:c>
      <x:c r="B187" s="22"/>
      <x:c r="C187" s="22"/>
      <x:c r="D187" s="22"/>
      <x:c r="E187" s="22"/>
      <x:c r="F187" s="26"/>
      <x:c r="G187" s="22"/>
      <x:c r="H187" s="22"/>
      <x:c r="I187" s="22"/>
      <x:c r="J187" s="22"/>
      <x:c r="K187" s="22"/>
      <x:c r="L187" s="22"/>
      <x:c r="M187" s="22"/>
      <x:c r="N187" s="28" t="n">
        <x:f>IFERROR(K187/J187,0)</x:f>
        <x:v>0</x:v>
      </x:c>
      <x:c r="O187" s="28" t="n">
        <x:f>IFERROR(M187/K187,0)</x:f>
        <x:v>0</x:v>
      </x:c>
      <x:c r="P187" s="22"/>
    </x:row>
    <x:row r="188">
      <x:c r="A188" s="22" t="str">
        <x:f>IF(B188="","","PRB-"&amp;TEXT(ROW()-2,"0000"))</x:f>
      </x:c>
      <x:c r="B188" s="22"/>
      <x:c r="C188" s="22"/>
      <x:c r="D188" s="22"/>
      <x:c r="E188" s="22"/>
      <x:c r="F188" s="26"/>
      <x:c r="G188" s="22"/>
      <x:c r="H188" s="22"/>
      <x:c r="I188" s="22"/>
      <x:c r="J188" s="22"/>
      <x:c r="K188" s="22"/>
      <x:c r="L188" s="22"/>
      <x:c r="M188" s="22"/>
      <x:c r="N188" s="28" t="n">
        <x:f>IFERROR(K188/J188,0)</x:f>
        <x:v>0</x:v>
      </x:c>
      <x:c r="O188" s="28" t="n">
        <x:f>IFERROR(M188/K188,0)</x:f>
        <x:v>0</x:v>
      </x:c>
      <x:c r="P188" s="22"/>
    </x:row>
    <x:row r="189">
      <x:c r="A189" s="22" t="str">
        <x:f>IF(B189="","","PRB-"&amp;TEXT(ROW()-2,"0000"))</x:f>
      </x:c>
      <x:c r="B189" s="22"/>
      <x:c r="C189" s="22"/>
      <x:c r="D189" s="22"/>
      <x:c r="E189" s="22"/>
      <x:c r="F189" s="26"/>
      <x:c r="G189" s="22"/>
      <x:c r="H189" s="22"/>
      <x:c r="I189" s="22"/>
      <x:c r="J189" s="22"/>
      <x:c r="K189" s="22"/>
      <x:c r="L189" s="22"/>
      <x:c r="M189" s="22"/>
      <x:c r="N189" s="28" t="n">
        <x:f>IFERROR(K189/J189,0)</x:f>
        <x:v>0</x:v>
      </x:c>
      <x:c r="O189" s="28" t="n">
        <x:f>IFERROR(M189/K189,0)</x:f>
        <x:v>0</x:v>
      </x:c>
      <x:c r="P189" s="22"/>
    </x:row>
    <x:row r="190">
      <x:c r="A190" s="22" t="str">
        <x:f>IF(B190="","","PRB-"&amp;TEXT(ROW()-2,"0000"))</x:f>
      </x:c>
      <x:c r="B190" s="22"/>
      <x:c r="C190" s="22"/>
      <x:c r="D190" s="22"/>
      <x:c r="E190" s="22"/>
      <x:c r="F190" s="26"/>
      <x:c r="G190" s="22"/>
      <x:c r="H190" s="22"/>
      <x:c r="I190" s="22"/>
      <x:c r="J190" s="22"/>
      <x:c r="K190" s="22"/>
      <x:c r="L190" s="22"/>
      <x:c r="M190" s="22"/>
      <x:c r="N190" s="28" t="n">
        <x:f>IFERROR(K190/J190,0)</x:f>
        <x:v>0</x:v>
      </x:c>
      <x:c r="O190" s="28" t="n">
        <x:f>IFERROR(M190/K190,0)</x:f>
        <x:v>0</x:v>
      </x:c>
      <x:c r="P190" s="22"/>
    </x:row>
    <x:row r="191">
      <x:c r="A191" s="22" t="str">
        <x:f>IF(B191="","","PRB-"&amp;TEXT(ROW()-2,"0000"))</x:f>
      </x:c>
      <x:c r="B191" s="22"/>
      <x:c r="C191" s="22"/>
      <x:c r="D191" s="22"/>
      <x:c r="E191" s="22"/>
      <x:c r="F191" s="26"/>
      <x:c r="G191" s="22"/>
      <x:c r="H191" s="22"/>
      <x:c r="I191" s="22"/>
      <x:c r="J191" s="22"/>
      <x:c r="K191" s="22"/>
      <x:c r="L191" s="22"/>
      <x:c r="M191" s="22"/>
      <x:c r="N191" s="28" t="n">
        <x:f>IFERROR(K191/J191,0)</x:f>
        <x:v>0</x:v>
      </x:c>
      <x:c r="O191" s="28" t="n">
        <x:f>IFERROR(M191/K191,0)</x:f>
        <x:v>0</x:v>
      </x:c>
      <x:c r="P191" s="22"/>
    </x:row>
    <x:row r="192">
      <x:c r="A192" s="22" t="str">
        <x:f>IF(B192="","","PRB-"&amp;TEXT(ROW()-2,"0000"))</x:f>
      </x:c>
      <x:c r="B192" s="22"/>
      <x:c r="C192" s="22"/>
      <x:c r="D192" s="22"/>
      <x:c r="E192" s="22"/>
      <x:c r="F192" s="26"/>
      <x:c r="G192" s="22"/>
      <x:c r="H192" s="22"/>
      <x:c r="I192" s="22"/>
      <x:c r="J192" s="22"/>
      <x:c r="K192" s="22"/>
      <x:c r="L192" s="22"/>
      <x:c r="M192" s="22"/>
      <x:c r="N192" s="28" t="n">
        <x:f>IFERROR(K192/J192,0)</x:f>
        <x:v>0</x:v>
      </x:c>
      <x:c r="O192" s="28" t="n">
        <x:f>IFERROR(M192/K192,0)</x:f>
        <x:v>0</x:v>
      </x:c>
      <x:c r="P192" s="22"/>
    </x:row>
    <x:row r="193">
      <x:c r="A193" s="22" t="str">
        <x:f>IF(B193="","","PRB-"&amp;TEXT(ROW()-2,"0000"))</x:f>
      </x:c>
      <x:c r="B193" s="22"/>
      <x:c r="C193" s="22"/>
      <x:c r="D193" s="22"/>
      <x:c r="E193" s="22"/>
      <x:c r="F193" s="26"/>
      <x:c r="G193" s="22"/>
      <x:c r="H193" s="22"/>
      <x:c r="I193" s="22"/>
      <x:c r="J193" s="22"/>
      <x:c r="K193" s="22"/>
      <x:c r="L193" s="22"/>
      <x:c r="M193" s="22"/>
      <x:c r="N193" s="28" t="n">
        <x:f>IFERROR(K193/J193,0)</x:f>
        <x:v>0</x:v>
      </x:c>
      <x:c r="O193" s="28" t="n">
        <x:f>IFERROR(M193/K193,0)</x:f>
        <x:v>0</x:v>
      </x:c>
      <x:c r="P193" s="22"/>
    </x:row>
    <x:row r="194">
      <x:c r="A194" s="22" t="str">
        <x:f>IF(B194="","","PRB-"&amp;TEXT(ROW()-2,"0000"))</x:f>
      </x:c>
      <x:c r="B194" s="22"/>
      <x:c r="C194" s="22"/>
      <x:c r="D194" s="22"/>
      <x:c r="E194" s="22"/>
      <x:c r="F194" s="26"/>
      <x:c r="G194" s="22"/>
      <x:c r="H194" s="22"/>
      <x:c r="I194" s="22"/>
      <x:c r="J194" s="22"/>
      <x:c r="K194" s="22"/>
      <x:c r="L194" s="22"/>
      <x:c r="M194" s="22"/>
      <x:c r="N194" s="28" t="n">
        <x:f>IFERROR(K194/J194,0)</x:f>
        <x:v>0</x:v>
      </x:c>
      <x:c r="O194" s="28" t="n">
        <x:f>IFERROR(M194/K194,0)</x:f>
        <x:v>0</x:v>
      </x:c>
      <x:c r="P194" s="22"/>
    </x:row>
    <x:row r="195">
      <x:c r="A195" s="22" t="str">
        <x:f>IF(B195="","","PRB-"&amp;TEXT(ROW()-2,"0000"))</x:f>
      </x:c>
      <x:c r="B195" s="22"/>
      <x:c r="C195" s="22"/>
      <x:c r="D195" s="22"/>
      <x:c r="E195" s="22"/>
      <x:c r="F195" s="26"/>
      <x:c r="G195" s="22"/>
      <x:c r="H195" s="22"/>
      <x:c r="I195" s="22"/>
      <x:c r="J195" s="22"/>
      <x:c r="K195" s="22"/>
      <x:c r="L195" s="22"/>
      <x:c r="M195" s="22"/>
      <x:c r="N195" s="28" t="n">
        <x:f>IFERROR(K195/J195,0)</x:f>
        <x:v>0</x:v>
      </x:c>
      <x:c r="O195" s="28" t="n">
        <x:f>IFERROR(M195/K195,0)</x:f>
        <x:v>0</x:v>
      </x:c>
      <x:c r="P195" s="22"/>
    </x:row>
    <x:row r="196">
      <x:c r="A196" s="22" t="str">
        <x:f>IF(B196="","","PRB-"&amp;TEXT(ROW()-2,"0000"))</x:f>
      </x:c>
      <x:c r="B196" s="22"/>
      <x:c r="C196" s="22"/>
      <x:c r="D196" s="22"/>
      <x:c r="E196" s="22"/>
      <x:c r="F196" s="26"/>
      <x:c r="G196" s="22"/>
      <x:c r="H196" s="22"/>
      <x:c r="I196" s="22"/>
      <x:c r="J196" s="22"/>
      <x:c r="K196" s="22"/>
      <x:c r="L196" s="22"/>
      <x:c r="M196" s="22"/>
      <x:c r="N196" s="28" t="n">
        <x:f>IFERROR(K196/J196,0)</x:f>
        <x:v>0</x:v>
      </x:c>
      <x:c r="O196" s="28" t="n">
        <x:f>IFERROR(M196/K196,0)</x:f>
        <x:v>0</x:v>
      </x:c>
      <x:c r="P196" s="22"/>
    </x:row>
    <x:row r="197">
      <x:c r="A197" s="22" t="str">
        <x:f>IF(B197="","","PRB-"&amp;TEXT(ROW()-2,"0000"))</x:f>
      </x:c>
      <x:c r="B197" s="22"/>
      <x:c r="C197" s="22"/>
      <x:c r="D197" s="22"/>
      <x:c r="E197" s="22"/>
      <x:c r="F197" s="26"/>
      <x:c r="G197" s="22"/>
      <x:c r="H197" s="22"/>
      <x:c r="I197" s="22"/>
      <x:c r="J197" s="22"/>
      <x:c r="K197" s="22"/>
      <x:c r="L197" s="22"/>
      <x:c r="M197" s="22"/>
      <x:c r="N197" s="28" t="n">
        <x:f>IFERROR(K197/J197,0)</x:f>
        <x:v>0</x:v>
      </x:c>
      <x:c r="O197" s="28" t="n">
        <x:f>IFERROR(M197/K197,0)</x:f>
        <x:v>0</x:v>
      </x:c>
      <x:c r="P197" s="22"/>
    </x:row>
    <x:row r="198">
      <x:c r="A198" s="22" t="str">
        <x:f>IF(B198="","","PRB-"&amp;TEXT(ROW()-2,"0000"))</x:f>
      </x:c>
      <x:c r="B198" s="22"/>
      <x:c r="C198" s="22"/>
      <x:c r="D198" s="22"/>
      <x:c r="E198" s="22"/>
      <x:c r="F198" s="26"/>
      <x:c r="G198" s="22"/>
      <x:c r="H198" s="22"/>
      <x:c r="I198" s="22"/>
      <x:c r="J198" s="22"/>
      <x:c r="K198" s="22"/>
      <x:c r="L198" s="22"/>
      <x:c r="M198" s="22"/>
      <x:c r="N198" s="28" t="n">
        <x:f>IFERROR(K198/J198,0)</x:f>
        <x:v>0</x:v>
      </x:c>
      <x:c r="O198" s="28" t="n">
        <x:f>IFERROR(M198/K198,0)</x:f>
        <x:v>0</x:v>
      </x:c>
      <x:c r="P198" s="22"/>
    </x:row>
    <x:row r="199">
      <x:c r="A199" s="22" t="str">
        <x:f>IF(B199="","","PRB-"&amp;TEXT(ROW()-2,"0000"))</x:f>
      </x:c>
      <x:c r="B199" s="22"/>
      <x:c r="C199" s="22"/>
      <x:c r="D199" s="22"/>
      <x:c r="E199" s="22"/>
      <x:c r="F199" s="26"/>
      <x:c r="G199" s="22"/>
      <x:c r="H199" s="22"/>
      <x:c r="I199" s="22"/>
      <x:c r="J199" s="22"/>
      <x:c r="K199" s="22"/>
      <x:c r="L199" s="22"/>
      <x:c r="M199" s="22"/>
      <x:c r="N199" s="28" t="n">
        <x:f>IFERROR(K199/J199,0)</x:f>
        <x:v>0</x:v>
      </x:c>
      <x:c r="O199" s="28" t="n">
        <x:f>IFERROR(M199/K199,0)</x:f>
        <x:v>0</x:v>
      </x:c>
      <x:c r="P199" s="22"/>
    </x:row>
    <x:row r="200">
      <x:c r="A200" s="22" t="str">
        <x:f>IF(B200="","","PRB-"&amp;TEXT(ROW()-2,"0000"))</x:f>
      </x:c>
      <x:c r="B200" s="22"/>
      <x:c r="C200" s="22"/>
      <x:c r="D200" s="22"/>
      <x:c r="E200" s="22"/>
      <x:c r="F200" s="26"/>
      <x:c r="G200" s="22"/>
      <x:c r="H200" s="22"/>
      <x:c r="I200" s="22"/>
      <x:c r="J200" s="22"/>
      <x:c r="K200" s="22"/>
      <x:c r="L200" s="22"/>
      <x:c r="M200" s="22"/>
      <x:c r="N200" s="28" t="n">
        <x:f>IFERROR(K200/J200,0)</x:f>
        <x:v>0</x:v>
      </x:c>
      <x:c r="O200" s="28" t="n">
        <x:f>IFERROR(M200/K200,0)</x:f>
        <x:v>0</x:v>
      </x:c>
      <x:c r="P200" s="22"/>
    </x:row>
    <x:row r="201">
      <x:c r="A201" s="22" t="str">
        <x:f>IF(B201="","","PRB-"&amp;TEXT(ROW()-2,"0000"))</x:f>
      </x:c>
      <x:c r="B201" s="22"/>
      <x:c r="C201" s="22"/>
      <x:c r="D201" s="22"/>
      <x:c r="E201" s="22"/>
      <x:c r="F201" s="26"/>
      <x:c r="G201" s="22"/>
      <x:c r="H201" s="22"/>
      <x:c r="I201" s="22"/>
      <x:c r="J201" s="22"/>
      <x:c r="K201" s="22"/>
      <x:c r="L201" s="22"/>
      <x:c r="M201" s="22"/>
      <x:c r="N201" s="28" t="n">
        <x:f>IFERROR(K201/J201,0)</x:f>
        <x:v>0</x:v>
      </x:c>
      <x:c r="O201" s="28" t="n">
        <x:f>IFERROR(M201/K201,0)</x:f>
        <x:v>0</x:v>
      </x:c>
      <x:c r="P201" s="22"/>
    </x:row>
    <x:row r="202">
      <x:c r="A202" s="22" t="str">
        <x:f>IF(B202="","","PRB-"&amp;TEXT(ROW()-2,"0000"))</x:f>
      </x:c>
      <x:c r="B202" s="22"/>
      <x:c r="C202" s="22"/>
      <x:c r="D202" s="22"/>
      <x:c r="E202" s="22"/>
      <x:c r="F202" s="26"/>
      <x:c r="G202" s="22"/>
      <x:c r="H202" s="22"/>
      <x:c r="I202" s="22"/>
      <x:c r="J202" s="22"/>
      <x:c r="K202" s="22"/>
      <x:c r="L202" s="22"/>
      <x:c r="M202" s="22"/>
      <x:c r="N202" s="28" t="n">
        <x:f>IFERROR(K202/J202,0)</x:f>
        <x:v>0</x:v>
      </x:c>
      <x:c r="O202" s="28" t="n">
        <x:f>IFERROR(M202/K202,0)</x:f>
        <x:v>0</x:v>
      </x:c>
      <x:c r="P202" s="22"/>
    </x:row>
  </x:sheetData>
  <x:mergeCells>
    <x:mergeCell ref="A1:P1"/>
  </x:mergeCells>
  <x:conditionalFormatting sqref="G3:G202">
    <x:cfRule type="expression" dxfId="13" priority="1">
      <x:formula>G3="Проведена"</x:formula>
    </x:cfRule>
    <x:cfRule type="expression" dxfId="14" priority="2">
      <x:formula>G3="Отменена"</x:formula>
    </x:cfRule>
  </x:conditionalFormatting>
  <x:conditionalFormatting sqref="N3:O202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{1DB71F01-13A5-8C42-806F-B35F6065F581}</x14:id>
        </x:ext>
      </x:extLst>
    </x:cfRule>
  </x:conditionalFormatting>
  <x:dataValidations count="2">
    <x:dataValidation type="list" sqref="E3:E202">
      <x:formula1>'Справочники'!$D$2:$D$6</x:formula1>
    </x:dataValidation>
    <x:dataValidation type="list" sqref="G3:G202">
      <x:formula1>'Справочники'!$K$2:$K$5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25e06c618349f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1DB71F01-13A5-8C42-806F-B35F6065F581}">
            <x14:dataBar gradient="1">
              <x14:cfvo type="min"/>
              <x14:cfvo type="max"/>
              <x14:fillColor rgb="FFA02B93"/>
            </x14:dataBar>
          </x14:cfRule>
          <xm:sqref>N3:O202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4" hidden="0" customWidth="1"/>
    <x:col min="4" max="4" width="20" hidden="0" customWidth="1"/>
    <x:col min="5" max="5" width="16" hidden="0" customWidth="1"/>
    <x:col min="6" max="6" width="12" hidden="0" customWidth="1"/>
    <x:col min="7" max="7" width="16" hidden="0" customWidth="1"/>
    <x:col min="8" max="8" width="12" hidden="0" customWidth="1"/>
    <x:col min="9" max="9" width="18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6" hidden="0" customWidth="1"/>
    <x:col min="17" max="17" width="14" hidden="0" customWidth="1"/>
    <x:col min="18" max="18" width="14" hidden="0" customWidth="1"/>
    <x:col min="19" max="19" width="10" hidden="0" customWidth="1"/>
    <x:col min="20" max="20" width="10" hidden="0" customWidth="1"/>
    <x:col min="21" max="21" width="18" hidden="0" customWidth="1"/>
    <x:col min="22" max="22" width="20" hidden="0" customWidth="1"/>
    <x:col min="23" max="23" width="20" hidden="0" customWidth="1"/>
    <x:col min="24" max="24" width="30" hidden="0" customWidth="1"/>
    <x:col min="25" max="25" width="30" hidden="0" customWidth="1"/>
  </x:cols>
  <x:sheetData>
    <x:row r="1" ht="30" customHeight="1">
      <x:c r="A1" s="16" t="str">
        <x:v>БАНК ВОЗМОЖНОСТЕЙ: оценка качества и адресное участие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</x:row>
    <x:row r="2" ht="32" customHeight="1">
      <x:c r="A2" s="6" t="str">
        <x:v>ID</x:v>
      </x:c>
      <x:c r="B2" s="6" t="str">
        <x:v>Название</x:v>
      </x:c>
      <x:c r="C2" s="6" t="str">
        <x:v>Организатор</x:v>
      </x:c>
      <x:c r="D2" s="6" t="str">
        <x:v>Тип</x:v>
      </x:c>
      <x:c r="E2" s="6" t="str">
        <x:v>Направление</x:v>
      </x:c>
      <x:c r="F2" s="6" t="str">
        <x:v>Приоритет</x:v>
      </x:c>
      <x:c r="G2" s="6" t="str">
        <x:v>Возраст / класс</x:v>
      </x:c>
      <x:c r="H2" s="6" t="str">
        <x:v>Дедлайн</x:v>
      </x:c>
      <x:c r="I2" s="6" t="str">
        <x:v>Формат / место</x:v>
      </x:c>
      <x:c r="J2" s="6" t="str">
        <x:v>Стоимость / расходы</x:v>
      </x:c>
      <x:c r="K2" s="6" t="str">
        <x:v>1. Соответствие</x:v>
      </x:c>
      <x:c r="L2" s="6" t="str">
        <x:v>2. Организатор</x:v>
      </x:c>
      <x:c r="M2" s="6" t="str">
        <x:v>3. Ценность</x:v>
      </x:c>
      <x:c r="N2" s="6" t="str">
        <x:v>4. Правила</x:v>
      </x:c>
      <x:c r="O2" s="6" t="str">
        <x:v>5. Нагрузка</x:v>
      </x:c>
      <x:c r="P2" s="6" t="str">
        <x:v>6. Безопасность / данные</x:v>
      </x:c>
      <x:c r="Q2" s="6" t="str">
        <x:v>7. Доступность</x:v>
      </x:c>
      <x:c r="R2" s="6" t="str">
        <x:v>8. Следующий шаг</x:v>
      </x:c>
      <x:c r="S2" s="6" t="str">
        <x:v>Сумма</x:v>
      </x:c>
      <x:c r="T2" s="6" t="str">
        <x:v>Категория</x:v>
      </x:c>
      <x:c r="U2" s="6" t="str">
        <x:v>Решение</x:v>
      </x:c>
      <x:c r="V2" s="6" t="str">
        <x:v>Ответственный</x:v>
      </x:c>
      <x:c r="W2" s="6" t="str">
        <x:v>Статус</x:v>
      </x:c>
      <x:c r="X2" s="6" t="str">
        <x:v>Официальный источник</x:v>
      </x:c>
      <x:c r="Y2" s="6" t="str">
        <x:v>Итог / отзыв</x:v>
      </x:c>
    </x:row>
    <x:row r="3">
      <x:c r="A3" s="22" t="str">
        <x:f>IF(B3="","","OPP-"&amp;TEXT(ROW()-2,"0000"))</x:f>
      </x:c>
      <x:c r="B3" s="22"/>
      <x:c r="C3" s="22"/>
      <x:c r="D3" s="22"/>
      <x:c r="E3" s="22"/>
      <x:c r="F3" s="22"/>
      <x:c r="G3" s="22"/>
      <x:c r="H3" s="26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 t="str">
        <x:f>IF(B3="","",SUM(K3:R3))</x:f>
      </x:c>
      <x:c r="T3" s="22" t="str">
        <x:f>IF(B3="","",IF(S3&gt;=13,"A",IF(S3&gt;=9,"B","C")))</x:f>
      </x:c>
      <x:c r="U3" s="22"/>
      <x:c r="V3" s="22"/>
      <x:c r="W3" s="22"/>
      <x:c r="X3" s="22"/>
      <x:c r="Y3" s="22"/>
    </x:row>
    <x:row r="4">
      <x:c r="A4" s="22" t="str">
        <x:f>IF(B4="","","OPP-"&amp;TEXT(ROW()-2,"0000"))</x:f>
      </x:c>
      <x:c r="B4" s="22"/>
      <x:c r="C4" s="22"/>
      <x:c r="D4" s="22"/>
      <x:c r="E4" s="22"/>
      <x:c r="F4" s="22"/>
      <x:c r="G4" s="22"/>
      <x:c r="H4" s="26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 t="str">
        <x:f>IF(B4="","",SUM(K4:R4))</x:f>
      </x:c>
      <x:c r="T4" s="22" t="str">
        <x:f>IF(B4="","",IF(S4&gt;=13,"A",IF(S4&gt;=9,"B","C")))</x:f>
      </x:c>
      <x:c r="U4" s="22"/>
      <x:c r="V4" s="22"/>
      <x:c r="W4" s="22"/>
      <x:c r="X4" s="22"/>
      <x:c r="Y4" s="22"/>
    </x:row>
    <x:row r="5">
      <x:c r="A5" s="22" t="str">
        <x:f>IF(B5="","","OPP-"&amp;TEXT(ROW()-2,"0000"))</x:f>
      </x:c>
      <x:c r="B5" s="22"/>
      <x:c r="C5" s="22"/>
      <x:c r="D5" s="22"/>
      <x:c r="E5" s="22"/>
      <x:c r="F5" s="22"/>
      <x:c r="G5" s="22"/>
      <x:c r="H5" s="26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 t="str">
        <x:f>IF(B5="","",SUM(K5:R5))</x:f>
      </x:c>
      <x:c r="T5" s="22" t="str">
        <x:f>IF(B5="","",IF(S5&gt;=13,"A",IF(S5&gt;=9,"B","C")))</x:f>
      </x:c>
      <x:c r="U5" s="22"/>
      <x:c r="V5" s="22"/>
      <x:c r="W5" s="22"/>
      <x:c r="X5" s="22"/>
      <x:c r="Y5" s="22"/>
    </x:row>
    <x:row r="6">
      <x:c r="A6" s="22" t="str">
        <x:f>IF(B6="","","OPP-"&amp;TEXT(ROW()-2,"0000"))</x:f>
      </x:c>
      <x:c r="B6" s="22"/>
      <x:c r="C6" s="22"/>
      <x:c r="D6" s="22"/>
      <x:c r="E6" s="22"/>
      <x:c r="F6" s="22"/>
      <x:c r="G6" s="22"/>
      <x:c r="H6" s="26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 t="str">
        <x:f>IF(B6="","",SUM(K6:R6))</x:f>
      </x:c>
      <x:c r="T6" s="22" t="str">
        <x:f>IF(B6="","",IF(S6&gt;=13,"A",IF(S6&gt;=9,"B","C")))</x:f>
      </x:c>
      <x:c r="U6" s="22"/>
      <x:c r="V6" s="22"/>
      <x:c r="W6" s="22"/>
      <x:c r="X6" s="22"/>
      <x:c r="Y6" s="22"/>
    </x:row>
    <x:row r="7">
      <x:c r="A7" s="22" t="str">
        <x:f>IF(B7="","","OPP-"&amp;TEXT(ROW()-2,"0000"))</x:f>
      </x:c>
      <x:c r="B7" s="22"/>
      <x:c r="C7" s="22"/>
      <x:c r="D7" s="22"/>
      <x:c r="E7" s="22"/>
      <x:c r="F7" s="22"/>
      <x:c r="G7" s="22"/>
      <x:c r="H7" s="26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 t="str">
        <x:f>IF(B7="","",SUM(K7:R7))</x:f>
      </x:c>
      <x:c r="T7" s="22" t="str">
        <x:f>IF(B7="","",IF(S7&gt;=13,"A",IF(S7&gt;=9,"B","C")))</x:f>
      </x:c>
      <x:c r="U7" s="22"/>
      <x:c r="V7" s="22"/>
      <x:c r="W7" s="22"/>
      <x:c r="X7" s="22"/>
      <x:c r="Y7" s="22"/>
    </x:row>
    <x:row r="8">
      <x:c r="A8" s="22" t="str">
        <x:f>IF(B8="","","OPP-"&amp;TEXT(ROW()-2,"0000"))</x:f>
      </x:c>
      <x:c r="B8" s="22"/>
      <x:c r="C8" s="22"/>
      <x:c r="D8" s="22"/>
      <x:c r="E8" s="22"/>
      <x:c r="F8" s="22"/>
      <x:c r="G8" s="22"/>
      <x:c r="H8" s="26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 t="str">
        <x:f>IF(B8="","",SUM(K8:R8))</x:f>
      </x:c>
      <x:c r="T8" s="22" t="str">
        <x:f>IF(B8="","",IF(S8&gt;=13,"A",IF(S8&gt;=9,"B","C")))</x:f>
      </x:c>
      <x:c r="U8" s="22"/>
      <x:c r="V8" s="22"/>
      <x:c r="W8" s="22"/>
      <x:c r="X8" s="22"/>
      <x:c r="Y8" s="22"/>
    </x:row>
    <x:row r="9">
      <x:c r="A9" s="22" t="str">
        <x:f>IF(B9="","","OPP-"&amp;TEXT(ROW()-2,"0000"))</x:f>
      </x:c>
      <x:c r="B9" s="22"/>
      <x:c r="C9" s="22"/>
      <x:c r="D9" s="22"/>
      <x:c r="E9" s="22"/>
      <x:c r="F9" s="22"/>
      <x:c r="G9" s="22"/>
      <x:c r="H9" s="26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 t="str">
        <x:f>IF(B9="","",SUM(K9:R9))</x:f>
      </x:c>
      <x:c r="T9" s="22" t="str">
        <x:f>IF(B9="","",IF(S9&gt;=13,"A",IF(S9&gt;=9,"B","C")))</x:f>
      </x:c>
      <x:c r="U9" s="22"/>
      <x:c r="V9" s="22"/>
      <x:c r="W9" s="22"/>
      <x:c r="X9" s="22"/>
      <x:c r="Y9" s="22"/>
    </x:row>
    <x:row r="10">
      <x:c r="A10" s="22" t="str">
        <x:f>IF(B10="","","OPP-"&amp;TEXT(ROW()-2,"0000"))</x:f>
      </x:c>
      <x:c r="B10" s="22"/>
      <x:c r="C10" s="22"/>
      <x:c r="D10" s="22"/>
      <x:c r="E10" s="22"/>
      <x:c r="F10" s="22"/>
      <x:c r="G10" s="22"/>
      <x:c r="H10" s="26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 t="str">
        <x:f>IF(B10="","",SUM(K10:R10))</x:f>
      </x:c>
      <x:c r="T10" s="22" t="str">
        <x:f>IF(B10="","",IF(S10&gt;=13,"A",IF(S10&gt;=9,"B","C")))</x:f>
      </x:c>
      <x:c r="U10" s="22"/>
      <x:c r="V10" s="22"/>
      <x:c r="W10" s="22"/>
      <x:c r="X10" s="22"/>
      <x:c r="Y10" s="22"/>
    </x:row>
    <x:row r="11">
      <x:c r="A11" s="22" t="str">
        <x:f>IF(B11="","","OPP-"&amp;TEXT(ROW()-2,"0000"))</x:f>
      </x:c>
      <x:c r="B11" s="22"/>
      <x:c r="C11" s="22"/>
      <x:c r="D11" s="22"/>
      <x:c r="E11" s="22"/>
      <x:c r="F11" s="22"/>
      <x:c r="G11" s="22"/>
      <x:c r="H11" s="26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 t="str">
        <x:f>IF(B11="","",SUM(K11:R11))</x:f>
      </x:c>
      <x:c r="T11" s="22" t="str">
        <x:f>IF(B11="","",IF(S11&gt;=13,"A",IF(S11&gt;=9,"B","C")))</x:f>
      </x:c>
      <x:c r="U11" s="22"/>
      <x:c r="V11" s="22"/>
      <x:c r="W11" s="22"/>
      <x:c r="X11" s="22"/>
      <x:c r="Y11" s="22"/>
    </x:row>
    <x:row r="12">
      <x:c r="A12" s="22" t="str">
        <x:f>IF(B12="","","OPP-"&amp;TEXT(ROW()-2,"0000"))</x:f>
      </x:c>
      <x:c r="B12" s="22"/>
      <x:c r="C12" s="22"/>
      <x:c r="D12" s="22"/>
      <x:c r="E12" s="22"/>
      <x:c r="F12" s="22"/>
      <x:c r="G12" s="22"/>
      <x:c r="H12" s="26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 t="str">
        <x:f>IF(B12="","",SUM(K12:R12))</x:f>
      </x:c>
      <x:c r="T12" s="22" t="str">
        <x:f>IF(B12="","",IF(S12&gt;=13,"A",IF(S12&gt;=9,"B","C")))</x:f>
      </x:c>
      <x:c r="U12" s="22"/>
      <x:c r="V12" s="22"/>
      <x:c r="W12" s="22"/>
      <x:c r="X12" s="22"/>
      <x:c r="Y12" s="22"/>
    </x:row>
    <x:row r="13">
      <x:c r="A13" s="22" t="str">
        <x:f>IF(B13="","","OPP-"&amp;TEXT(ROW()-2,"0000"))</x:f>
      </x:c>
      <x:c r="B13" s="22"/>
      <x:c r="C13" s="22"/>
      <x:c r="D13" s="22"/>
      <x:c r="E13" s="22"/>
      <x:c r="F13" s="22"/>
      <x:c r="G13" s="22"/>
      <x:c r="H13" s="26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 t="str">
        <x:f>IF(B13="","",SUM(K13:R13))</x:f>
      </x:c>
      <x:c r="T13" s="22" t="str">
        <x:f>IF(B13="","",IF(S13&gt;=13,"A",IF(S13&gt;=9,"B","C")))</x:f>
      </x:c>
      <x:c r="U13" s="22"/>
      <x:c r="V13" s="22"/>
      <x:c r="W13" s="22"/>
      <x:c r="X13" s="22"/>
      <x:c r="Y13" s="22"/>
    </x:row>
    <x:row r="14">
      <x:c r="A14" s="22" t="str">
        <x:f>IF(B14="","","OPP-"&amp;TEXT(ROW()-2,"0000"))</x:f>
      </x:c>
      <x:c r="B14" s="22"/>
      <x:c r="C14" s="22"/>
      <x:c r="D14" s="22"/>
      <x:c r="E14" s="22"/>
      <x:c r="F14" s="22"/>
      <x:c r="G14" s="22"/>
      <x:c r="H14" s="26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 t="str">
        <x:f>IF(B14="","",SUM(K14:R14))</x:f>
      </x:c>
      <x:c r="T14" s="22" t="str">
        <x:f>IF(B14="","",IF(S14&gt;=13,"A",IF(S14&gt;=9,"B","C")))</x:f>
      </x:c>
      <x:c r="U14" s="22"/>
      <x:c r="V14" s="22"/>
      <x:c r="W14" s="22"/>
      <x:c r="X14" s="22"/>
      <x:c r="Y14" s="22"/>
    </x:row>
    <x:row r="15">
      <x:c r="A15" s="22" t="str">
        <x:f>IF(B15="","","OPP-"&amp;TEXT(ROW()-2,"0000"))</x:f>
      </x:c>
      <x:c r="B15" s="22"/>
      <x:c r="C15" s="22"/>
      <x:c r="D15" s="22"/>
      <x:c r="E15" s="22"/>
      <x:c r="F15" s="22"/>
      <x:c r="G15" s="22"/>
      <x:c r="H15" s="26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 t="str">
        <x:f>IF(B15="","",SUM(K15:R15))</x:f>
      </x:c>
      <x:c r="T15" s="22" t="str">
        <x:f>IF(B15="","",IF(S15&gt;=13,"A",IF(S15&gt;=9,"B","C")))</x:f>
      </x:c>
      <x:c r="U15" s="22"/>
      <x:c r="V15" s="22"/>
      <x:c r="W15" s="22"/>
      <x:c r="X15" s="22"/>
      <x:c r="Y15" s="22"/>
    </x:row>
    <x:row r="16">
      <x:c r="A16" s="22" t="str">
        <x:f>IF(B16="","","OPP-"&amp;TEXT(ROW()-2,"0000"))</x:f>
      </x:c>
      <x:c r="B16" s="22"/>
      <x:c r="C16" s="22"/>
      <x:c r="D16" s="22"/>
      <x:c r="E16" s="22"/>
      <x:c r="F16" s="22"/>
      <x:c r="G16" s="22"/>
      <x:c r="H16" s="26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 t="str">
        <x:f>IF(B16="","",SUM(K16:R16))</x:f>
      </x:c>
      <x:c r="T16" s="22" t="str">
        <x:f>IF(B16="","",IF(S16&gt;=13,"A",IF(S16&gt;=9,"B","C")))</x:f>
      </x:c>
      <x:c r="U16" s="22"/>
      <x:c r="V16" s="22"/>
      <x:c r="W16" s="22"/>
      <x:c r="X16" s="22"/>
      <x:c r="Y16" s="22"/>
    </x:row>
    <x:row r="17">
      <x:c r="A17" s="22" t="str">
        <x:f>IF(B17="","","OPP-"&amp;TEXT(ROW()-2,"0000"))</x:f>
      </x:c>
      <x:c r="B17" s="22"/>
      <x:c r="C17" s="22"/>
      <x:c r="D17" s="22"/>
      <x:c r="E17" s="22"/>
      <x:c r="F17" s="22"/>
      <x:c r="G17" s="22"/>
      <x:c r="H17" s="26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 t="str">
        <x:f>IF(B17="","",SUM(K17:R17))</x:f>
      </x:c>
      <x:c r="T17" s="22" t="str">
        <x:f>IF(B17="","",IF(S17&gt;=13,"A",IF(S17&gt;=9,"B","C")))</x:f>
      </x:c>
      <x:c r="U17" s="22"/>
      <x:c r="V17" s="22"/>
      <x:c r="W17" s="22"/>
      <x:c r="X17" s="22"/>
      <x:c r="Y17" s="22"/>
    </x:row>
    <x:row r="18">
      <x:c r="A18" s="22" t="str">
        <x:f>IF(B18="","","OPP-"&amp;TEXT(ROW()-2,"0000"))</x:f>
      </x:c>
      <x:c r="B18" s="22"/>
      <x:c r="C18" s="22"/>
      <x:c r="D18" s="22"/>
      <x:c r="E18" s="22"/>
      <x:c r="F18" s="22"/>
      <x:c r="G18" s="22"/>
      <x:c r="H18" s="26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 t="str">
        <x:f>IF(B18="","",SUM(K18:R18))</x:f>
      </x:c>
      <x:c r="T18" s="22" t="str">
        <x:f>IF(B18="","",IF(S18&gt;=13,"A",IF(S18&gt;=9,"B","C")))</x:f>
      </x:c>
      <x:c r="U18" s="22"/>
      <x:c r="V18" s="22"/>
      <x:c r="W18" s="22"/>
      <x:c r="X18" s="22"/>
      <x:c r="Y18" s="22"/>
    </x:row>
    <x:row r="19">
      <x:c r="A19" s="22" t="str">
        <x:f>IF(B19="","","OPP-"&amp;TEXT(ROW()-2,"0000"))</x:f>
      </x:c>
      <x:c r="B19" s="22"/>
      <x:c r="C19" s="22"/>
      <x:c r="D19" s="22"/>
      <x:c r="E19" s="22"/>
      <x:c r="F19" s="22"/>
      <x:c r="G19" s="22"/>
      <x:c r="H19" s="26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 t="str">
        <x:f>IF(B19="","",SUM(K19:R19))</x:f>
      </x:c>
      <x:c r="T19" s="22" t="str">
        <x:f>IF(B19="","",IF(S19&gt;=13,"A",IF(S19&gt;=9,"B","C")))</x:f>
      </x:c>
      <x:c r="U19" s="22"/>
      <x:c r="V19" s="22"/>
      <x:c r="W19" s="22"/>
      <x:c r="X19" s="22"/>
      <x:c r="Y19" s="22"/>
    </x:row>
    <x:row r="20">
      <x:c r="A20" s="22" t="str">
        <x:f>IF(B20="","","OPP-"&amp;TEXT(ROW()-2,"0000"))</x:f>
      </x:c>
      <x:c r="B20" s="22"/>
      <x:c r="C20" s="22"/>
      <x:c r="D20" s="22"/>
      <x:c r="E20" s="22"/>
      <x:c r="F20" s="22"/>
      <x:c r="G20" s="22"/>
      <x:c r="H20" s="26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 t="str">
        <x:f>IF(B20="","",SUM(K20:R20))</x:f>
      </x:c>
      <x:c r="T20" s="22" t="str">
        <x:f>IF(B20="","",IF(S20&gt;=13,"A",IF(S20&gt;=9,"B","C")))</x:f>
      </x:c>
      <x:c r="U20" s="22"/>
      <x:c r="V20" s="22"/>
      <x:c r="W20" s="22"/>
      <x:c r="X20" s="22"/>
      <x:c r="Y20" s="22"/>
    </x:row>
    <x:row r="21">
      <x:c r="A21" s="22" t="str">
        <x:f>IF(B21="","","OPP-"&amp;TEXT(ROW()-2,"0000"))</x:f>
      </x:c>
      <x:c r="B21" s="22"/>
      <x:c r="C21" s="22"/>
      <x:c r="D21" s="22"/>
      <x:c r="E21" s="22"/>
      <x:c r="F21" s="22"/>
      <x:c r="G21" s="22"/>
      <x:c r="H21" s="26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 t="str">
        <x:f>IF(B21="","",SUM(K21:R21))</x:f>
      </x:c>
      <x:c r="T21" s="22" t="str">
        <x:f>IF(B21="","",IF(S21&gt;=13,"A",IF(S21&gt;=9,"B","C")))</x:f>
      </x:c>
      <x:c r="U21" s="22"/>
      <x:c r="V21" s="22"/>
      <x:c r="W21" s="22"/>
      <x:c r="X21" s="22"/>
      <x:c r="Y21" s="22"/>
    </x:row>
    <x:row r="22">
      <x:c r="A22" s="22" t="str">
        <x:f>IF(B22="","","OPP-"&amp;TEXT(ROW()-2,"0000"))</x:f>
      </x:c>
      <x:c r="B22" s="22"/>
      <x:c r="C22" s="22"/>
      <x:c r="D22" s="22"/>
      <x:c r="E22" s="22"/>
      <x:c r="F22" s="22"/>
      <x:c r="G22" s="22"/>
      <x:c r="H22" s="26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 t="str">
        <x:f>IF(B22="","",SUM(K22:R22))</x:f>
      </x:c>
      <x:c r="T22" s="22" t="str">
        <x:f>IF(B22="","",IF(S22&gt;=13,"A",IF(S22&gt;=9,"B","C")))</x:f>
      </x:c>
      <x:c r="U22" s="22"/>
      <x:c r="V22" s="22"/>
      <x:c r="W22" s="22"/>
      <x:c r="X22" s="22"/>
      <x:c r="Y22" s="22"/>
    </x:row>
    <x:row r="23">
      <x:c r="A23" s="22" t="str">
        <x:f>IF(B23="","","OPP-"&amp;TEXT(ROW()-2,"0000"))</x:f>
      </x:c>
      <x:c r="B23" s="22"/>
      <x:c r="C23" s="22"/>
      <x:c r="D23" s="22"/>
      <x:c r="E23" s="22"/>
      <x:c r="F23" s="22"/>
      <x:c r="G23" s="22"/>
      <x:c r="H23" s="26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 t="str">
        <x:f>IF(B23="","",SUM(K23:R23))</x:f>
      </x:c>
      <x:c r="T23" s="22" t="str">
        <x:f>IF(B23="","",IF(S23&gt;=13,"A",IF(S23&gt;=9,"B","C")))</x:f>
      </x:c>
      <x:c r="U23" s="22"/>
      <x:c r="V23" s="22"/>
      <x:c r="W23" s="22"/>
      <x:c r="X23" s="22"/>
      <x:c r="Y23" s="22"/>
    </x:row>
    <x:row r="24">
      <x:c r="A24" s="22" t="str">
        <x:f>IF(B24="","","OPP-"&amp;TEXT(ROW()-2,"0000"))</x:f>
      </x:c>
      <x:c r="B24" s="22"/>
      <x:c r="C24" s="22"/>
      <x:c r="D24" s="22"/>
      <x:c r="E24" s="22"/>
      <x:c r="F24" s="22"/>
      <x:c r="G24" s="22"/>
      <x:c r="H24" s="26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 t="str">
        <x:f>IF(B24="","",SUM(K24:R24))</x:f>
      </x:c>
      <x:c r="T24" s="22" t="str">
        <x:f>IF(B24="","",IF(S24&gt;=13,"A",IF(S24&gt;=9,"B","C")))</x:f>
      </x:c>
      <x:c r="U24" s="22"/>
      <x:c r="V24" s="22"/>
      <x:c r="W24" s="22"/>
      <x:c r="X24" s="22"/>
      <x:c r="Y24" s="22"/>
    </x:row>
    <x:row r="25">
      <x:c r="A25" s="22" t="str">
        <x:f>IF(B25="","","OPP-"&amp;TEXT(ROW()-2,"0000"))</x:f>
      </x:c>
      <x:c r="B25" s="22"/>
      <x:c r="C25" s="22"/>
      <x:c r="D25" s="22"/>
      <x:c r="E25" s="22"/>
      <x:c r="F25" s="22"/>
      <x:c r="G25" s="22"/>
      <x:c r="H25" s="26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 t="str">
        <x:f>IF(B25="","",SUM(K25:R25))</x:f>
      </x:c>
      <x:c r="T25" s="22" t="str">
        <x:f>IF(B25="","",IF(S25&gt;=13,"A",IF(S25&gt;=9,"B","C")))</x:f>
      </x:c>
      <x:c r="U25" s="22"/>
      <x:c r="V25" s="22"/>
      <x:c r="W25" s="22"/>
      <x:c r="X25" s="22"/>
      <x:c r="Y25" s="22"/>
    </x:row>
    <x:row r="26">
      <x:c r="A26" s="22" t="str">
        <x:f>IF(B26="","","OPP-"&amp;TEXT(ROW()-2,"0000"))</x:f>
      </x:c>
      <x:c r="B26" s="22"/>
      <x:c r="C26" s="22"/>
      <x:c r="D26" s="22"/>
      <x:c r="E26" s="22"/>
      <x:c r="F26" s="22"/>
      <x:c r="G26" s="22"/>
      <x:c r="H26" s="26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 t="str">
        <x:f>IF(B26="","",SUM(K26:R26))</x:f>
      </x:c>
      <x:c r="T26" s="22" t="str">
        <x:f>IF(B26="","",IF(S26&gt;=13,"A",IF(S26&gt;=9,"B","C")))</x:f>
      </x:c>
      <x:c r="U26" s="22"/>
      <x:c r="V26" s="22"/>
      <x:c r="W26" s="22"/>
      <x:c r="X26" s="22"/>
      <x:c r="Y26" s="22"/>
    </x:row>
    <x:row r="27">
      <x:c r="A27" s="22" t="str">
        <x:f>IF(B27="","","OPP-"&amp;TEXT(ROW()-2,"0000"))</x:f>
      </x:c>
      <x:c r="B27" s="22"/>
      <x:c r="C27" s="22"/>
      <x:c r="D27" s="22"/>
      <x:c r="E27" s="22"/>
      <x:c r="F27" s="22"/>
      <x:c r="G27" s="22"/>
      <x:c r="H27" s="26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 t="str">
        <x:f>IF(B27="","",SUM(K27:R27))</x:f>
      </x:c>
      <x:c r="T27" s="22" t="str">
        <x:f>IF(B27="","",IF(S27&gt;=13,"A",IF(S27&gt;=9,"B","C")))</x:f>
      </x:c>
      <x:c r="U27" s="22"/>
      <x:c r="V27" s="22"/>
      <x:c r="W27" s="22"/>
      <x:c r="X27" s="22"/>
      <x:c r="Y27" s="22"/>
    </x:row>
    <x:row r="28">
      <x:c r="A28" s="22" t="str">
        <x:f>IF(B28="","","OPP-"&amp;TEXT(ROW()-2,"0000"))</x:f>
      </x:c>
      <x:c r="B28" s="22"/>
      <x:c r="C28" s="22"/>
      <x:c r="D28" s="22"/>
      <x:c r="E28" s="22"/>
      <x:c r="F28" s="22"/>
      <x:c r="G28" s="22"/>
      <x:c r="H28" s="26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 t="str">
        <x:f>IF(B28="","",SUM(K28:R28))</x:f>
      </x:c>
      <x:c r="T28" s="22" t="str">
        <x:f>IF(B28="","",IF(S28&gt;=13,"A",IF(S28&gt;=9,"B","C")))</x:f>
      </x:c>
      <x:c r="U28" s="22"/>
      <x:c r="V28" s="22"/>
      <x:c r="W28" s="22"/>
      <x:c r="X28" s="22"/>
      <x:c r="Y28" s="22"/>
    </x:row>
    <x:row r="29">
      <x:c r="A29" s="22" t="str">
        <x:f>IF(B29="","","OPP-"&amp;TEXT(ROW()-2,"0000"))</x:f>
      </x:c>
      <x:c r="B29" s="22"/>
      <x:c r="C29" s="22"/>
      <x:c r="D29" s="22"/>
      <x:c r="E29" s="22"/>
      <x:c r="F29" s="22"/>
      <x:c r="G29" s="22"/>
      <x:c r="H29" s="26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 t="str">
        <x:f>IF(B29="","",SUM(K29:R29))</x:f>
      </x:c>
      <x:c r="T29" s="22" t="str">
        <x:f>IF(B29="","",IF(S29&gt;=13,"A",IF(S29&gt;=9,"B","C")))</x:f>
      </x:c>
      <x:c r="U29" s="22"/>
      <x:c r="V29" s="22"/>
      <x:c r="W29" s="22"/>
      <x:c r="X29" s="22"/>
      <x:c r="Y29" s="22"/>
    </x:row>
    <x:row r="30">
      <x:c r="A30" s="22" t="str">
        <x:f>IF(B30="","","OPP-"&amp;TEXT(ROW()-2,"0000"))</x:f>
      </x:c>
      <x:c r="B30" s="22"/>
      <x:c r="C30" s="22"/>
      <x:c r="D30" s="22"/>
      <x:c r="E30" s="22"/>
      <x:c r="F30" s="22"/>
      <x:c r="G30" s="22"/>
      <x:c r="H30" s="26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2" t="str">
        <x:f>IF(B30="","",SUM(K30:R30))</x:f>
      </x:c>
      <x:c r="T30" s="22" t="str">
        <x:f>IF(B30="","",IF(S30&gt;=13,"A",IF(S30&gt;=9,"B","C")))</x:f>
      </x:c>
      <x:c r="U30" s="22"/>
      <x:c r="V30" s="22"/>
      <x:c r="W30" s="22"/>
      <x:c r="X30" s="22"/>
      <x:c r="Y30" s="22"/>
    </x:row>
    <x:row r="31">
      <x:c r="A31" s="22" t="str">
        <x:f>IF(B31="","","OPP-"&amp;TEXT(ROW()-2,"0000"))</x:f>
      </x:c>
      <x:c r="B31" s="22"/>
      <x:c r="C31" s="22"/>
      <x:c r="D31" s="22"/>
      <x:c r="E31" s="22"/>
      <x:c r="F31" s="22"/>
      <x:c r="G31" s="22"/>
      <x:c r="H31" s="26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2" t="str">
        <x:f>IF(B31="","",SUM(K31:R31))</x:f>
      </x:c>
      <x:c r="T31" s="22" t="str">
        <x:f>IF(B31="","",IF(S31&gt;=13,"A",IF(S31&gt;=9,"B","C")))</x:f>
      </x:c>
      <x:c r="U31" s="22"/>
      <x:c r="V31" s="22"/>
      <x:c r="W31" s="22"/>
      <x:c r="X31" s="22"/>
      <x:c r="Y31" s="22"/>
    </x:row>
    <x:row r="32">
      <x:c r="A32" s="22" t="str">
        <x:f>IF(B32="","","OPP-"&amp;TEXT(ROW()-2,"0000"))</x:f>
      </x:c>
      <x:c r="B32" s="22"/>
      <x:c r="C32" s="22"/>
      <x:c r="D32" s="22"/>
      <x:c r="E32" s="22"/>
      <x:c r="F32" s="22"/>
      <x:c r="G32" s="22"/>
      <x:c r="H32" s="26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  <x:c r="S32" s="22" t="str">
        <x:f>IF(B32="","",SUM(K32:R32))</x:f>
      </x:c>
      <x:c r="T32" s="22" t="str">
        <x:f>IF(B32="","",IF(S32&gt;=13,"A",IF(S32&gt;=9,"B","C")))</x:f>
      </x:c>
      <x:c r="U32" s="22"/>
      <x:c r="V32" s="22"/>
      <x:c r="W32" s="22"/>
      <x:c r="X32" s="22"/>
      <x:c r="Y32" s="22"/>
    </x:row>
    <x:row r="33">
      <x:c r="A33" s="22" t="str">
        <x:f>IF(B33="","","OPP-"&amp;TEXT(ROW()-2,"0000"))</x:f>
      </x:c>
      <x:c r="B33" s="22"/>
      <x:c r="C33" s="22"/>
      <x:c r="D33" s="22"/>
      <x:c r="E33" s="22"/>
      <x:c r="F33" s="22"/>
      <x:c r="G33" s="22"/>
      <x:c r="H33" s="26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  <x:c r="S33" s="22" t="str">
        <x:f>IF(B33="","",SUM(K33:R33))</x:f>
      </x:c>
      <x:c r="T33" s="22" t="str">
        <x:f>IF(B33="","",IF(S33&gt;=13,"A",IF(S33&gt;=9,"B","C")))</x:f>
      </x:c>
      <x:c r="U33" s="22"/>
      <x:c r="V33" s="22"/>
      <x:c r="W33" s="22"/>
      <x:c r="X33" s="22"/>
      <x:c r="Y33" s="22"/>
    </x:row>
    <x:row r="34">
      <x:c r="A34" s="22" t="str">
        <x:f>IF(B34="","","OPP-"&amp;TEXT(ROW()-2,"0000"))</x:f>
      </x:c>
      <x:c r="B34" s="22"/>
      <x:c r="C34" s="22"/>
      <x:c r="D34" s="22"/>
      <x:c r="E34" s="22"/>
      <x:c r="F34" s="22"/>
      <x:c r="G34" s="22"/>
      <x:c r="H34" s="26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 t="str">
        <x:f>IF(B34="","",SUM(K34:R34))</x:f>
      </x:c>
      <x:c r="T34" s="22" t="str">
        <x:f>IF(B34="","",IF(S34&gt;=13,"A",IF(S34&gt;=9,"B","C")))</x:f>
      </x:c>
      <x:c r="U34" s="22"/>
      <x:c r="V34" s="22"/>
      <x:c r="W34" s="22"/>
      <x:c r="X34" s="22"/>
      <x:c r="Y34" s="22"/>
    </x:row>
    <x:row r="35">
      <x:c r="A35" s="22" t="str">
        <x:f>IF(B35="","","OPP-"&amp;TEXT(ROW()-2,"0000"))</x:f>
      </x:c>
      <x:c r="B35" s="22"/>
      <x:c r="C35" s="22"/>
      <x:c r="D35" s="22"/>
      <x:c r="E35" s="22"/>
      <x:c r="F35" s="22"/>
      <x:c r="G35" s="22"/>
      <x:c r="H35" s="26"/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  <x:c r="S35" s="22" t="str">
        <x:f>IF(B35="","",SUM(K35:R35))</x:f>
      </x:c>
      <x:c r="T35" s="22" t="str">
        <x:f>IF(B35="","",IF(S35&gt;=13,"A",IF(S35&gt;=9,"B","C")))</x:f>
      </x:c>
      <x:c r="U35" s="22"/>
      <x:c r="V35" s="22"/>
      <x:c r="W35" s="22"/>
      <x:c r="X35" s="22"/>
      <x:c r="Y35" s="22"/>
    </x:row>
    <x:row r="36">
      <x:c r="A36" s="22" t="str">
        <x:f>IF(B36="","","OPP-"&amp;TEXT(ROW()-2,"0000"))</x:f>
      </x:c>
      <x:c r="B36" s="22"/>
      <x:c r="C36" s="22"/>
      <x:c r="D36" s="22"/>
      <x:c r="E36" s="22"/>
      <x:c r="F36" s="22"/>
      <x:c r="G36" s="22"/>
      <x:c r="H36" s="26"/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  <x:c r="S36" s="22" t="str">
        <x:f>IF(B36="","",SUM(K36:R36))</x:f>
      </x:c>
      <x:c r="T36" s="22" t="str">
        <x:f>IF(B36="","",IF(S36&gt;=13,"A",IF(S36&gt;=9,"B","C")))</x:f>
      </x:c>
      <x:c r="U36" s="22"/>
      <x:c r="V36" s="22"/>
      <x:c r="W36" s="22"/>
      <x:c r="X36" s="22"/>
      <x:c r="Y36" s="22"/>
    </x:row>
    <x:row r="37">
      <x:c r="A37" s="22" t="str">
        <x:f>IF(B37="","","OPP-"&amp;TEXT(ROW()-2,"0000"))</x:f>
      </x:c>
      <x:c r="B37" s="22"/>
      <x:c r="C37" s="22"/>
      <x:c r="D37" s="22"/>
      <x:c r="E37" s="22"/>
      <x:c r="F37" s="22"/>
      <x:c r="G37" s="22"/>
      <x:c r="H37" s="26"/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 t="str">
        <x:f>IF(B37="","",SUM(K37:R37))</x:f>
      </x:c>
      <x:c r="T37" s="22" t="str">
        <x:f>IF(B37="","",IF(S37&gt;=13,"A",IF(S37&gt;=9,"B","C")))</x:f>
      </x:c>
      <x:c r="U37" s="22"/>
      <x:c r="V37" s="22"/>
      <x:c r="W37" s="22"/>
      <x:c r="X37" s="22"/>
      <x:c r="Y37" s="22"/>
    </x:row>
    <x:row r="38">
      <x:c r="A38" s="22" t="str">
        <x:f>IF(B38="","","OPP-"&amp;TEXT(ROW()-2,"0000"))</x:f>
      </x:c>
      <x:c r="B38" s="22"/>
      <x:c r="C38" s="22"/>
      <x:c r="D38" s="22"/>
      <x:c r="E38" s="22"/>
      <x:c r="F38" s="22"/>
      <x:c r="G38" s="22"/>
      <x:c r="H38" s="26"/>
      <x:c r="I38" s="22"/>
      <x:c r="J38" s="22"/>
      <x:c r="K38" s="22"/>
      <x:c r="L38" s="22"/>
      <x:c r="M38" s="22"/>
      <x:c r="N38" s="22"/>
      <x:c r="O38" s="22"/>
      <x:c r="P38" s="22"/>
      <x:c r="Q38" s="22"/>
      <x:c r="R38" s="22"/>
      <x:c r="S38" s="22" t="str">
        <x:f>IF(B38="","",SUM(K38:R38))</x:f>
      </x:c>
      <x:c r="T38" s="22" t="str">
        <x:f>IF(B38="","",IF(S38&gt;=13,"A",IF(S38&gt;=9,"B","C")))</x:f>
      </x:c>
      <x:c r="U38" s="22"/>
      <x:c r="V38" s="22"/>
      <x:c r="W38" s="22"/>
      <x:c r="X38" s="22"/>
      <x:c r="Y38" s="22"/>
    </x:row>
    <x:row r="39">
      <x:c r="A39" s="22" t="str">
        <x:f>IF(B39="","","OPP-"&amp;TEXT(ROW()-2,"0000"))</x:f>
      </x:c>
      <x:c r="B39" s="22"/>
      <x:c r="C39" s="22"/>
      <x:c r="D39" s="22"/>
      <x:c r="E39" s="22"/>
      <x:c r="F39" s="22"/>
      <x:c r="G39" s="22"/>
      <x:c r="H39" s="26"/>
      <x:c r="I39" s="22"/>
      <x:c r="J39" s="22"/>
      <x:c r="K39" s="22"/>
      <x:c r="L39" s="22"/>
      <x:c r="M39" s="22"/>
      <x:c r="N39" s="22"/>
      <x:c r="O39" s="22"/>
      <x:c r="P39" s="22"/>
      <x:c r="Q39" s="22"/>
      <x:c r="R39" s="22"/>
      <x:c r="S39" s="22" t="str">
        <x:f>IF(B39="","",SUM(K39:R39))</x:f>
      </x:c>
      <x:c r="T39" s="22" t="str">
        <x:f>IF(B39="","",IF(S39&gt;=13,"A",IF(S39&gt;=9,"B","C")))</x:f>
      </x:c>
      <x:c r="U39" s="22"/>
      <x:c r="V39" s="22"/>
      <x:c r="W39" s="22"/>
      <x:c r="X39" s="22"/>
      <x:c r="Y39" s="22"/>
    </x:row>
    <x:row r="40">
      <x:c r="A40" s="22" t="str">
        <x:f>IF(B40="","","OPP-"&amp;TEXT(ROW()-2,"0000"))</x:f>
      </x:c>
      <x:c r="B40" s="22"/>
      <x:c r="C40" s="22"/>
      <x:c r="D40" s="22"/>
      <x:c r="E40" s="22"/>
      <x:c r="F40" s="22"/>
      <x:c r="G40" s="22"/>
      <x:c r="H40" s="26"/>
      <x:c r="I40" s="22"/>
      <x:c r="J40" s="22"/>
      <x:c r="K40" s="22"/>
      <x:c r="L40" s="22"/>
      <x:c r="M40" s="22"/>
      <x:c r="N40" s="22"/>
      <x:c r="O40" s="22"/>
      <x:c r="P40" s="22"/>
      <x:c r="Q40" s="22"/>
      <x:c r="R40" s="22"/>
      <x:c r="S40" s="22" t="str">
        <x:f>IF(B40="","",SUM(K40:R40))</x:f>
      </x:c>
      <x:c r="T40" s="22" t="str">
        <x:f>IF(B40="","",IF(S40&gt;=13,"A",IF(S40&gt;=9,"B","C")))</x:f>
      </x:c>
      <x:c r="U40" s="22"/>
      <x:c r="V40" s="22"/>
      <x:c r="W40" s="22"/>
      <x:c r="X40" s="22"/>
      <x:c r="Y40" s="22"/>
    </x:row>
    <x:row r="41">
      <x:c r="A41" s="22" t="str">
        <x:f>IF(B41="","","OPP-"&amp;TEXT(ROW()-2,"0000"))</x:f>
      </x:c>
      <x:c r="B41" s="22"/>
      <x:c r="C41" s="22"/>
      <x:c r="D41" s="22"/>
      <x:c r="E41" s="22"/>
      <x:c r="F41" s="22"/>
      <x:c r="G41" s="22"/>
      <x:c r="H41" s="26"/>
      <x:c r="I41" s="22"/>
      <x:c r="J41" s="22"/>
      <x:c r="K41" s="22"/>
      <x:c r="L41" s="22"/>
      <x:c r="M41" s="22"/>
      <x:c r="N41" s="22"/>
      <x:c r="O41" s="22"/>
      <x:c r="P41" s="22"/>
      <x:c r="Q41" s="22"/>
      <x:c r="R41" s="22"/>
      <x:c r="S41" s="22" t="str">
        <x:f>IF(B41="","",SUM(K41:R41))</x:f>
      </x:c>
      <x:c r="T41" s="22" t="str">
        <x:f>IF(B41="","",IF(S41&gt;=13,"A",IF(S41&gt;=9,"B","C")))</x:f>
      </x:c>
      <x:c r="U41" s="22"/>
      <x:c r="V41" s="22"/>
      <x:c r="W41" s="22"/>
      <x:c r="X41" s="22"/>
      <x:c r="Y41" s="22"/>
    </x:row>
    <x:row r="42">
      <x:c r="A42" s="22" t="str">
        <x:f>IF(B42="","","OPP-"&amp;TEXT(ROW()-2,"0000"))</x:f>
      </x:c>
      <x:c r="B42" s="22"/>
      <x:c r="C42" s="22"/>
      <x:c r="D42" s="22"/>
      <x:c r="E42" s="22"/>
      <x:c r="F42" s="22"/>
      <x:c r="G42" s="22"/>
      <x:c r="H42" s="26"/>
      <x:c r="I42" s="22"/>
      <x:c r="J42" s="22"/>
      <x:c r="K42" s="22"/>
      <x:c r="L42" s="22"/>
      <x:c r="M42" s="22"/>
      <x:c r="N42" s="22"/>
      <x:c r="O42" s="22"/>
      <x:c r="P42" s="22"/>
      <x:c r="Q42" s="22"/>
      <x:c r="R42" s="22"/>
      <x:c r="S42" s="22" t="str">
        <x:f>IF(B42="","",SUM(K42:R42))</x:f>
      </x:c>
      <x:c r="T42" s="22" t="str">
        <x:f>IF(B42="","",IF(S42&gt;=13,"A",IF(S42&gt;=9,"B","C")))</x:f>
      </x:c>
      <x:c r="U42" s="22"/>
      <x:c r="V42" s="22"/>
      <x:c r="W42" s="22"/>
      <x:c r="X42" s="22"/>
      <x:c r="Y42" s="22"/>
    </x:row>
    <x:row r="43">
      <x:c r="A43" s="22" t="str">
        <x:f>IF(B43="","","OPP-"&amp;TEXT(ROW()-2,"0000"))</x:f>
      </x:c>
      <x:c r="B43" s="22"/>
      <x:c r="C43" s="22"/>
      <x:c r="D43" s="22"/>
      <x:c r="E43" s="22"/>
      <x:c r="F43" s="22"/>
      <x:c r="G43" s="22"/>
      <x:c r="H43" s="26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 t="str">
        <x:f>IF(B43="","",SUM(K43:R43))</x:f>
      </x:c>
      <x:c r="T43" s="22" t="str">
        <x:f>IF(B43="","",IF(S43&gt;=13,"A",IF(S43&gt;=9,"B","C")))</x:f>
      </x:c>
      <x:c r="U43" s="22"/>
      <x:c r="V43" s="22"/>
      <x:c r="W43" s="22"/>
      <x:c r="X43" s="22"/>
      <x:c r="Y43" s="22"/>
    </x:row>
    <x:row r="44">
      <x:c r="A44" s="22" t="str">
        <x:f>IF(B44="","","OPP-"&amp;TEXT(ROW()-2,"0000"))</x:f>
      </x:c>
      <x:c r="B44" s="22"/>
      <x:c r="C44" s="22"/>
      <x:c r="D44" s="22"/>
      <x:c r="E44" s="22"/>
      <x:c r="F44" s="22"/>
      <x:c r="G44" s="22"/>
      <x:c r="H44" s="26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 t="str">
        <x:f>IF(B44="","",SUM(K44:R44))</x:f>
      </x:c>
      <x:c r="T44" s="22" t="str">
        <x:f>IF(B44="","",IF(S44&gt;=13,"A",IF(S44&gt;=9,"B","C")))</x:f>
      </x:c>
      <x:c r="U44" s="22"/>
      <x:c r="V44" s="22"/>
      <x:c r="W44" s="22"/>
      <x:c r="X44" s="22"/>
      <x:c r="Y44" s="22"/>
    </x:row>
    <x:row r="45">
      <x:c r="A45" s="22" t="str">
        <x:f>IF(B45="","","OPP-"&amp;TEXT(ROW()-2,"0000"))</x:f>
      </x:c>
      <x:c r="B45" s="22"/>
      <x:c r="C45" s="22"/>
      <x:c r="D45" s="22"/>
      <x:c r="E45" s="22"/>
      <x:c r="F45" s="22"/>
      <x:c r="G45" s="22"/>
      <x:c r="H45" s="26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 t="str">
        <x:f>IF(B45="","",SUM(K45:R45))</x:f>
      </x:c>
      <x:c r="T45" s="22" t="str">
        <x:f>IF(B45="","",IF(S45&gt;=13,"A",IF(S45&gt;=9,"B","C")))</x:f>
      </x:c>
      <x:c r="U45" s="22"/>
      <x:c r="V45" s="22"/>
      <x:c r="W45" s="22"/>
      <x:c r="X45" s="22"/>
      <x:c r="Y45" s="22"/>
    </x:row>
    <x:row r="46">
      <x:c r="A46" s="22" t="str">
        <x:f>IF(B46="","","OPP-"&amp;TEXT(ROW()-2,"0000"))</x:f>
      </x:c>
      <x:c r="B46" s="22"/>
      <x:c r="C46" s="22"/>
      <x:c r="D46" s="22"/>
      <x:c r="E46" s="22"/>
      <x:c r="F46" s="22"/>
      <x:c r="G46" s="22"/>
      <x:c r="H46" s="26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  <x:c r="S46" s="22" t="str">
        <x:f>IF(B46="","",SUM(K46:R46))</x:f>
      </x:c>
      <x:c r="T46" s="22" t="str">
        <x:f>IF(B46="","",IF(S46&gt;=13,"A",IF(S46&gt;=9,"B","C")))</x:f>
      </x:c>
      <x:c r="U46" s="22"/>
      <x:c r="V46" s="22"/>
      <x:c r="W46" s="22"/>
      <x:c r="X46" s="22"/>
      <x:c r="Y46" s="22"/>
    </x:row>
    <x:row r="47">
      <x:c r="A47" s="22" t="str">
        <x:f>IF(B47="","","OPP-"&amp;TEXT(ROW()-2,"0000"))</x:f>
      </x:c>
      <x:c r="B47" s="22"/>
      <x:c r="C47" s="22"/>
      <x:c r="D47" s="22"/>
      <x:c r="E47" s="22"/>
      <x:c r="F47" s="22"/>
      <x:c r="G47" s="22"/>
      <x:c r="H47" s="26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  <x:c r="S47" s="22" t="str">
        <x:f>IF(B47="","",SUM(K47:R47))</x:f>
      </x:c>
      <x:c r="T47" s="22" t="str">
        <x:f>IF(B47="","",IF(S47&gt;=13,"A",IF(S47&gt;=9,"B","C")))</x:f>
      </x:c>
      <x:c r="U47" s="22"/>
      <x:c r="V47" s="22"/>
      <x:c r="W47" s="22"/>
      <x:c r="X47" s="22"/>
      <x:c r="Y47" s="22"/>
    </x:row>
    <x:row r="48">
      <x:c r="A48" s="22" t="str">
        <x:f>IF(B48="","","OPP-"&amp;TEXT(ROW()-2,"0000"))</x:f>
      </x:c>
      <x:c r="B48" s="22"/>
      <x:c r="C48" s="22"/>
      <x:c r="D48" s="22"/>
      <x:c r="E48" s="22"/>
      <x:c r="F48" s="22"/>
      <x:c r="G48" s="22"/>
      <x:c r="H48" s="26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 t="str">
        <x:f>IF(B48="","",SUM(K48:R48))</x:f>
      </x:c>
      <x:c r="T48" s="22" t="str">
        <x:f>IF(B48="","",IF(S48&gt;=13,"A",IF(S48&gt;=9,"B","C")))</x:f>
      </x:c>
      <x:c r="U48" s="22"/>
      <x:c r="V48" s="22"/>
      <x:c r="W48" s="22"/>
      <x:c r="X48" s="22"/>
      <x:c r="Y48" s="22"/>
    </x:row>
    <x:row r="49">
      <x:c r="A49" s="22" t="str">
        <x:f>IF(B49="","","OPP-"&amp;TEXT(ROW()-2,"0000"))</x:f>
      </x:c>
      <x:c r="B49" s="22"/>
      <x:c r="C49" s="22"/>
      <x:c r="D49" s="22"/>
      <x:c r="E49" s="22"/>
      <x:c r="F49" s="22"/>
      <x:c r="G49" s="22"/>
      <x:c r="H49" s="26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2" t="str">
        <x:f>IF(B49="","",SUM(K49:R49))</x:f>
      </x:c>
      <x:c r="T49" s="22" t="str">
        <x:f>IF(B49="","",IF(S49&gt;=13,"A",IF(S49&gt;=9,"B","C")))</x:f>
      </x:c>
      <x:c r="U49" s="22"/>
      <x:c r="V49" s="22"/>
      <x:c r="W49" s="22"/>
      <x:c r="X49" s="22"/>
      <x:c r="Y49" s="22"/>
    </x:row>
    <x:row r="50">
      <x:c r="A50" s="22" t="str">
        <x:f>IF(B50="","","OPP-"&amp;TEXT(ROW()-2,"0000"))</x:f>
      </x:c>
      <x:c r="B50" s="22"/>
      <x:c r="C50" s="22"/>
      <x:c r="D50" s="22"/>
      <x:c r="E50" s="22"/>
      <x:c r="F50" s="22"/>
      <x:c r="G50" s="22"/>
      <x:c r="H50" s="26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 t="str">
        <x:f>IF(B50="","",SUM(K50:R50))</x:f>
      </x:c>
      <x:c r="T50" s="22" t="str">
        <x:f>IF(B50="","",IF(S50&gt;=13,"A",IF(S50&gt;=9,"B","C")))</x:f>
      </x:c>
      <x:c r="U50" s="22"/>
      <x:c r="V50" s="22"/>
      <x:c r="W50" s="22"/>
      <x:c r="X50" s="22"/>
      <x:c r="Y50" s="22"/>
    </x:row>
    <x:row r="51">
      <x:c r="A51" s="22" t="str">
        <x:f>IF(B51="","","OPP-"&amp;TEXT(ROW()-2,"0000"))</x:f>
      </x:c>
      <x:c r="B51" s="22"/>
      <x:c r="C51" s="22"/>
      <x:c r="D51" s="22"/>
      <x:c r="E51" s="22"/>
      <x:c r="F51" s="22"/>
      <x:c r="G51" s="22"/>
      <x:c r="H51" s="26"/>
      <x:c r="I51" s="22"/>
      <x:c r="J51" s="22"/>
      <x:c r="K51" s="22"/>
      <x:c r="L51" s="22"/>
      <x:c r="M51" s="22"/>
      <x:c r="N51" s="22"/>
      <x:c r="O51" s="22"/>
      <x:c r="P51" s="22"/>
      <x:c r="Q51" s="22"/>
      <x:c r="R51" s="22"/>
      <x:c r="S51" s="22" t="str">
        <x:f>IF(B51="","",SUM(K51:R51))</x:f>
      </x:c>
      <x:c r="T51" s="22" t="str">
        <x:f>IF(B51="","",IF(S51&gt;=13,"A",IF(S51&gt;=9,"B","C")))</x:f>
      </x:c>
      <x:c r="U51" s="22"/>
      <x:c r="V51" s="22"/>
      <x:c r="W51" s="22"/>
      <x:c r="X51" s="22"/>
      <x:c r="Y51" s="22"/>
    </x:row>
    <x:row r="52">
      <x:c r="A52" s="22" t="str">
        <x:f>IF(B52="","","OPP-"&amp;TEXT(ROW()-2,"0000"))</x:f>
      </x:c>
      <x:c r="B52" s="22"/>
      <x:c r="C52" s="22"/>
      <x:c r="D52" s="22"/>
      <x:c r="E52" s="22"/>
      <x:c r="F52" s="22"/>
      <x:c r="G52" s="22"/>
      <x:c r="H52" s="26"/>
      <x:c r="I52" s="22"/>
      <x:c r="J52" s="22"/>
      <x:c r="K52" s="22"/>
      <x:c r="L52" s="22"/>
      <x:c r="M52" s="22"/>
      <x:c r="N52" s="22"/>
      <x:c r="O52" s="22"/>
      <x:c r="P52" s="22"/>
      <x:c r="Q52" s="22"/>
      <x:c r="R52" s="22"/>
      <x:c r="S52" s="22" t="str">
        <x:f>IF(B52="","",SUM(K52:R52))</x:f>
      </x:c>
      <x:c r="T52" s="22" t="str">
        <x:f>IF(B52="","",IF(S52&gt;=13,"A",IF(S52&gt;=9,"B","C")))</x:f>
      </x:c>
      <x:c r="U52" s="22"/>
      <x:c r="V52" s="22"/>
      <x:c r="W52" s="22"/>
      <x:c r="X52" s="22"/>
      <x:c r="Y52" s="22"/>
    </x:row>
    <x:row r="53">
      <x:c r="A53" s="22" t="str">
        <x:f>IF(B53="","","OPP-"&amp;TEXT(ROW()-2,"0000"))</x:f>
      </x:c>
      <x:c r="B53" s="22"/>
      <x:c r="C53" s="22"/>
      <x:c r="D53" s="22"/>
      <x:c r="E53" s="22"/>
      <x:c r="F53" s="22"/>
      <x:c r="G53" s="22"/>
      <x:c r="H53" s="26"/>
      <x:c r="I53" s="22"/>
      <x:c r="J53" s="22"/>
      <x:c r="K53" s="22"/>
      <x:c r="L53" s="22"/>
      <x:c r="M53" s="22"/>
      <x:c r="N53" s="22"/>
      <x:c r="O53" s="22"/>
      <x:c r="P53" s="22"/>
      <x:c r="Q53" s="22"/>
      <x:c r="R53" s="22"/>
      <x:c r="S53" s="22" t="str">
        <x:f>IF(B53="","",SUM(K53:R53))</x:f>
      </x:c>
      <x:c r="T53" s="22" t="str">
        <x:f>IF(B53="","",IF(S53&gt;=13,"A",IF(S53&gt;=9,"B","C")))</x:f>
      </x:c>
      <x:c r="U53" s="22"/>
      <x:c r="V53" s="22"/>
      <x:c r="W53" s="22"/>
      <x:c r="X53" s="22"/>
      <x:c r="Y53" s="22"/>
    </x:row>
    <x:row r="54">
      <x:c r="A54" s="22" t="str">
        <x:f>IF(B54="","","OPP-"&amp;TEXT(ROW()-2,"0000"))</x:f>
      </x:c>
      <x:c r="B54" s="22"/>
      <x:c r="C54" s="22"/>
      <x:c r="D54" s="22"/>
      <x:c r="E54" s="22"/>
      <x:c r="F54" s="22"/>
      <x:c r="G54" s="22"/>
      <x:c r="H54" s="26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 t="str">
        <x:f>IF(B54="","",SUM(K54:R54))</x:f>
      </x:c>
      <x:c r="T54" s="22" t="str">
        <x:f>IF(B54="","",IF(S54&gt;=13,"A",IF(S54&gt;=9,"B","C")))</x:f>
      </x:c>
      <x:c r="U54" s="22"/>
      <x:c r="V54" s="22"/>
      <x:c r="W54" s="22"/>
      <x:c r="X54" s="22"/>
      <x:c r="Y54" s="22"/>
    </x:row>
    <x:row r="55">
      <x:c r="A55" s="22" t="str">
        <x:f>IF(B55="","","OPP-"&amp;TEXT(ROW()-2,"0000"))</x:f>
      </x:c>
      <x:c r="B55" s="22"/>
      <x:c r="C55" s="22"/>
      <x:c r="D55" s="22"/>
      <x:c r="E55" s="22"/>
      <x:c r="F55" s="22"/>
      <x:c r="G55" s="22"/>
      <x:c r="H55" s="26"/>
      <x:c r="I55" s="22"/>
      <x:c r="J55" s="22"/>
      <x:c r="K55" s="22"/>
      <x:c r="L55" s="22"/>
      <x:c r="M55" s="22"/>
      <x:c r="N55" s="22"/>
      <x:c r="O55" s="22"/>
      <x:c r="P55" s="22"/>
      <x:c r="Q55" s="22"/>
      <x:c r="R55" s="22"/>
      <x:c r="S55" s="22" t="str">
        <x:f>IF(B55="","",SUM(K55:R55))</x:f>
      </x:c>
      <x:c r="T55" s="22" t="str">
        <x:f>IF(B55="","",IF(S55&gt;=13,"A",IF(S55&gt;=9,"B","C")))</x:f>
      </x:c>
      <x:c r="U55" s="22"/>
      <x:c r="V55" s="22"/>
      <x:c r="W55" s="22"/>
      <x:c r="X55" s="22"/>
      <x:c r="Y55" s="22"/>
    </x:row>
    <x:row r="56">
      <x:c r="A56" s="22" t="str">
        <x:f>IF(B56="","","OPP-"&amp;TEXT(ROW()-2,"0000"))</x:f>
      </x:c>
      <x:c r="B56" s="22"/>
      <x:c r="C56" s="22"/>
      <x:c r="D56" s="22"/>
      <x:c r="E56" s="22"/>
      <x:c r="F56" s="22"/>
      <x:c r="G56" s="22"/>
      <x:c r="H56" s="26"/>
      <x:c r="I56" s="22"/>
      <x:c r="J56" s="22"/>
      <x:c r="K56" s="22"/>
      <x:c r="L56" s="22"/>
      <x:c r="M56" s="22"/>
      <x:c r="N56" s="22"/>
      <x:c r="O56" s="22"/>
      <x:c r="P56" s="22"/>
      <x:c r="Q56" s="22"/>
      <x:c r="R56" s="22"/>
      <x:c r="S56" s="22" t="str">
        <x:f>IF(B56="","",SUM(K56:R56))</x:f>
      </x:c>
      <x:c r="T56" s="22" t="str">
        <x:f>IF(B56="","",IF(S56&gt;=13,"A",IF(S56&gt;=9,"B","C")))</x:f>
      </x:c>
      <x:c r="U56" s="22"/>
      <x:c r="V56" s="22"/>
      <x:c r="W56" s="22"/>
      <x:c r="X56" s="22"/>
      <x:c r="Y56" s="22"/>
    </x:row>
    <x:row r="57">
      <x:c r="A57" s="22" t="str">
        <x:f>IF(B57="","","OPP-"&amp;TEXT(ROW()-2,"0000"))</x:f>
      </x:c>
      <x:c r="B57" s="22"/>
      <x:c r="C57" s="22"/>
      <x:c r="D57" s="22"/>
      <x:c r="E57" s="22"/>
      <x:c r="F57" s="22"/>
      <x:c r="G57" s="22"/>
      <x:c r="H57" s="26"/>
      <x:c r="I57" s="22"/>
      <x:c r="J57" s="22"/>
      <x:c r="K57" s="22"/>
      <x:c r="L57" s="22"/>
      <x:c r="M57" s="22"/>
      <x:c r="N57" s="22"/>
      <x:c r="O57" s="22"/>
      <x:c r="P57" s="22"/>
      <x:c r="Q57" s="22"/>
      <x:c r="R57" s="22"/>
      <x:c r="S57" s="22" t="str">
        <x:f>IF(B57="","",SUM(K57:R57))</x:f>
      </x:c>
      <x:c r="T57" s="22" t="str">
        <x:f>IF(B57="","",IF(S57&gt;=13,"A",IF(S57&gt;=9,"B","C")))</x:f>
      </x:c>
      <x:c r="U57" s="22"/>
      <x:c r="V57" s="22"/>
      <x:c r="W57" s="22"/>
      <x:c r="X57" s="22"/>
      <x:c r="Y57" s="22"/>
    </x:row>
    <x:row r="58">
      <x:c r="A58" s="22" t="str">
        <x:f>IF(B58="","","OPP-"&amp;TEXT(ROW()-2,"0000"))</x:f>
      </x:c>
      <x:c r="B58" s="22"/>
      <x:c r="C58" s="22"/>
      <x:c r="D58" s="22"/>
      <x:c r="E58" s="22"/>
      <x:c r="F58" s="22"/>
      <x:c r="G58" s="22"/>
      <x:c r="H58" s="26"/>
      <x:c r="I58" s="22"/>
      <x:c r="J58" s="22"/>
      <x:c r="K58" s="22"/>
      <x:c r="L58" s="22"/>
      <x:c r="M58" s="22"/>
      <x:c r="N58" s="22"/>
      <x:c r="O58" s="22"/>
      <x:c r="P58" s="22"/>
      <x:c r="Q58" s="22"/>
      <x:c r="R58" s="22"/>
      <x:c r="S58" s="22" t="str">
        <x:f>IF(B58="","",SUM(K58:R58))</x:f>
      </x:c>
      <x:c r="T58" s="22" t="str">
        <x:f>IF(B58="","",IF(S58&gt;=13,"A",IF(S58&gt;=9,"B","C")))</x:f>
      </x:c>
      <x:c r="U58" s="22"/>
      <x:c r="V58" s="22"/>
      <x:c r="W58" s="22"/>
      <x:c r="X58" s="22"/>
      <x:c r="Y58" s="22"/>
    </x:row>
    <x:row r="59">
      <x:c r="A59" s="22" t="str">
        <x:f>IF(B59="","","OPP-"&amp;TEXT(ROW()-2,"0000"))</x:f>
      </x:c>
      <x:c r="B59" s="22"/>
      <x:c r="C59" s="22"/>
      <x:c r="D59" s="22"/>
      <x:c r="E59" s="22"/>
      <x:c r="F59" s="22"/>
      <x:c r="G59" s="22"/>
      <x:c r="H59" s="26"/>
      <x:c r="I59" s="22"/>
      <x:c r="J59" s="22"/>
      <x:c r="K59" s="22"/>
      <x:c r="L59" s="22"/>
      <x:c r="M59" s="22"/>
      <x:c r="N59" s="22"/>
      <x:c r="O59" s="22"/>
      <x:c r="P59" s="22"/>
      <x:c r="Q59" s="22"/>
      <x:c r="R59" s="22"/>
      <x:c r="S59" s="22" t="str">
        <x:f>IF(B59="","",SUM(K59:R59))</x:f>
      </x:c>
      <x:c r="T59" s="22" t="str">
        <x:f>IF(B59="","",IF(S59&gt;=13,"A",IF(S59&gt;=9,"B","C")))</x:f>
      </x:c>
      <x:c r="U59" s="22"/>
      <x:c r="V59" s="22"/>
      <x:c r="W59" s="22"/>
      <x:c r="X59" s="22"/>
      <x:c r="Y59" s="22"/>
    </x:row>
    <x:row r="60">
      <x:c r="A60" s="22" t="str">
        <x:f>IF(B60="","","OPP-"&amp;TEXT(ROW()-2,"0000"))</x:f>
      </x:c>
      <x:c r="B60" s="22"/>
      <x:c r="C60" s="22"/>
      <x:c r="D60" s="22"/>
      <x:c r="E60" s="22"/>
      <x:c r="F60" s="22"/>
      <x:c r="G60" s="22"/>
      <x:c r="H60" s="26"/>
      <x:c r="I60" s="22"/>
      <x:c r="J60" s="22"/>
      <x:c r="K60" s="22"/>
      <x:c r="L60" s="22"/>
      <x:c r="M60" s="22"/>
      <x:c r="N60" s="22"/>
      <x:c r="O60" s="22"/>
      <x:c r="P60" s="22"/>
      <x:c r="Q60" s="22"/>
      <x:c r="R60" s="22"/>
      <x:c r="S60" s="22" t="str">
        <x:f>IF(B60="","",SUM(K60:R60))</x:f>
      </x:c>
      <x:c r="T60" s="22" t="str">
        <x:f>IF(B60="","",IF(S60&gt;=13,"A",IF(S60&gt;=9,"B","C")))</x:f>
      </x:c>
      <x:c r="U60" s="22"/>
      <x:c r="V60" s="22"/>
      <x:c r="W60" s="22"/>
      <x:c r="X60" s="22"/>
      <x:c r="Y60" s="22"/>
    </x:row>
    <x:row r="61">
      <x:c r="A61" s="22" t="str">
        <x:f>IF(B61="","","OPP-"&amp;TEXT(ROW()-2,"0000"))</x:f>
      </x:c>
      <x:c r="B61" s="22"/>
      <x:c r="C61" s="22"/>
      <x:c r="D61" s="22"/>
      <x:c r="E61" s="22"/>
      <x:c r="F61" s="22"/>
      <x:c r="G61" s="22"/>
      <x:c r="H61" s="26"/>
      <x:c r="I61" s="22"/>
      <x:c r="J61" s="22"/>
      <x:c r="K61" s="22"/>
      <x:c r="L61" s="22"/>
      <x:c r="M61" s="22"/>
      <x:c r="N61" s="22"/>
      <x:c r="O61" s="22"/>
      <x:c r="P61" s="22"/>
      <x:c r="Q61" s="22"/>
      <x:c r="R61" s="22"/>
      <x:c r="S61" s="22" t="str">
        <x:f>IF(B61="","",SUM(K61:R61))</x:f>
      </x:c>
      <x:c r="T61" s="22" t="str">
        <x:f>IF(B61="","",IF(S61&gt;=13,"A",IF(S61&gt;=9,"B","C")))</x:f>
      </x:c>
      <x:c r="U61" s="22"/>
      <x:c r="V61" s="22"/>
      <x:c r="W61" s="22"/>
      <x:c r="X61" s="22"/>
      <x:c r="Y61" s="22"/>
    </x:row>
    <x:row r="62">
      <x:c r="A62" s="22" t="str">
        <x:f>IF(B62="","","OPP-"&amp;TEXT(ROW()-2,"0000"))</x:f>
      </x:c>
      <x:c r="B62" s="22"/>
      <x:c r="C62" s="22"/>
      <x:c r="D62" s="22"/>
      <x:c r="E62" s="22"/>
      <x:c r="F62" s="22"/>
      <x:c r="G62" s="22"/>
      <x:c r="H62" s="26"/>
      <x:c r="I62" s="22"/>
      <x:c r="J62" s="22"/>
      <x:c r="K62" s="22"/>
      <x:c r="L62" s="22"/>
      <x:c r="M62" s="22"/>
      <x:c r="N62" s="22"/>
      <x:c r="O62" s="22"/>
      <x:c r="P62" s="22"/>
      <x:c r="Q62" s="22"/>
      <x:c r="R62" s="22"/>
      <x:c r="S62" s="22" t="str">
        <x:f>IF(B62="","",SUM(K62:R62))</x:f>
      </x:c>
      <x:c r="T62" s="22" t="str">
        <x:f>IF(B62="","",IF(S62&gt;=13,"A",IF(S62&gt;=9,"B","C")))</x:f>
      </x:c>
      <x:c r="U62" s="22"/>
      <x:c r="V62" s="22"/>
      <x:c r="W62" s="22"/>
      <x:c r="X62" s="22"/>
      <x:c r="Y62" s="22"/>
    </x:row>
    <x:row r="63">
      <x:c r="A63" s="22" t="str">
        <x:f>IF(B63="","","OPP-"&amp;TEXT(ROW()-2,"0000"))</x:f>
      </x:c>
      <x:c r="B63" s="22"/>
      <x:c r="C63" s="22"/>
      <x:c r="D63" s="22"/>
      <x:c r="E63" s="22"/>
      <x:c r="F63" s="22"/>
      <x:c r="G63" s="22"/>
      <x:c r="H63" s="26"/>
      <x:c r="I63" s="22"/>
      <x:c r="J63" s="22"/>
      <x:c r="K63" s="22"/>
      <x:c r="L63" s="22"/>
      <x:c r="M63" s="22"/>
      <x:c r="N63" s="22"/>
      <x:c r="O63" s="22"/>
      <x:c r="P63" s="22"/>
      <x:c r="Q63" s="22"/>
      <x:c r="R63" s="22"/>
      <x:c r="S63" s="22" t="str">
        <x:f>IF(B63="","",SUM(K63:R63))</x:f>
      </x:c>
      <x:c r="T63" s="22" t="str">
        <x:f>IF(B63="","",IF(S63&gt;=13,"A",IF(S63&gt;=9,"B","C")))</x:f>
      </x:c>
      <x:c r="U63" s="22"/>
      <x:c r="V63" s="22"/>
      <x:c r="W63" s="22"/>
      <x:c r="X63" s="22"/>
      <x:c r="Y63" s="22"/>
    </x:row>
    <x:row r="64">
      <x:c r="A64" s="22" t="str">
        <x:f>IF(B64="","","OPP-"&amp;TEXT(ROW()-2,"0000"))</x:f>
      </x:c>
      <x:c r="B64" s="22"/>
      <x:c r="C64" s="22"/>
      <x:c r="D64" s="22"/>
      <x:c r="E64" s="22"/>
      <x:c r="F64" s="22"/>
      <x:c r="G64" s="22"/>
      <x:c r="H64" s="26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 t="str">
        <x:f>IF(B64="","",SUM(K64:R64))</x:f>
      </x:c>
      <x:c r="T64" s="22" t="str">
        <x:f>IF(B64="","",IF(S64&gt;=13,"A",IF(S64&gt;=9,"B","C")))</x:f>
      </x:c>
      <x:c r="U64" s="22"/>
      <x:c r="V64" s="22"/>
      <x:c r="W64" s="22"/>
      <x:c r="X64" s="22"/>
      <x:c r="Y64" s="22"/>
    </x:row>
    <x:row r="65">
      <x:c r="A65" s="22" t="str">
        <x:f>IF(B65="","","OPP-"&amp;TEXT(ROW()-2,"0000"))</x:f>
      </x:c>
      <x:c r="B65" s="22"/>
      <x:c r="C65" s="22"/>
      <x:c r="D65" s="22"/>
      <x:c r="E65" s="22"/>
      <x:c r="F65" s="22"/>
      <x:c r="G65" s="22"/>
      <x:c r="H65" s="26"/>
      <x:c r="I65" s="22"/>
      <x:c r="J65" s="22"/>
      <x:c r="K65" s="22"/>
      <x:c r="L65" s="22"/>
      <x:c r="M65" s="22"/>
      <x:c r="N65" s="22"/>
      <x:c r="O65" s="22"/>
      <x:c r="P65" s="22"/>
      <x:c r="Q65" s="22"/>
      <x:c r="R65" s="22"/>
      <x:c r="S65" s="22" t="str">
        <x:f>IF(B65="","",SUM(K65:R65))</x:f>
      </x:c>
      <x:c r="T65" s="22" t="str">
        <x:f>IF(B65="","",IF(S65&gt;=13,"A",IF(S65&gt;=9,"B","C")))</x:f>
      </x:c>
      <x:c r="U65" s="22"/>
      <x:c r="V65" s="22"/>
      <x:c r="W65" s="22"/>
      <x:c r="X65" s="22"/>
      <x:c r="Y65" s="22"/>
    </x:row>
    <x:row r="66">
      <x:c r="A66" s="22" t="str">
        <x:f>IF(B66="","","OPP-"&amp;TEXT(ROW()-2,"0000"))</x:f>
      </x:c>
      <x:c r="B66" s="22"/>
      <x:c r="C66" s="22"/>
      <x:c r="D66" s="22"/>
      <x:c r="E66" s="22"/>
      <x:c r="F66" s="22"/>
      <x:c r="G66" s="22"/>
      <x:c r="H66" s="26"/>
      <x:c r="I66" s="22"/>
      <x:c r="J66" s="22"/>
      <x:c r="K66" s="22"/>
      <x:c r="L66" s="22"/>
      <x:c r="M66" s="22"/>
      <x:c r="N66" s="22"/>
      <x:c r="O66" s="22"/>
      <x:c r="P66" s="22"/>
      <x:c r="Q66" s="22"/>
      <x:c r="R66" s="22"/>
      <x:c r="S66" s="22" t="str">
        <x:f>IF(B66="","",SUM(K66:R66))</x:f>
      </x:c>
      <x:c r="T66" s="22" t="str">
        <x:f>IF(B66="","",IF(S66&gt;=13,"A",IF(S66&gt;=9,"B","C")))</x:f>
      </x:c>
      <x:c r="U66" s="22"/>
      <x:c r="V66" s="22"/>
      <x:c r="W66" s="22"/>
      <x:c r="X66" s="22"/>
      <x:c r="Y66" s="22"/>
    </x:row>
    <x:row r="67">
      <x:c r="A67" s="22" t="str">
        <x:f>IF(B67="","","OPP-"&amp;TEXT(ROW()-2,"0000"))</x:f>
      </x:c>
      <x:c r="B67" s="22"/>
      <x:c r="C67" s="22"/>
      <x:c r="D67" s="22"/>
      <x:c r="E67" s="22"/>
      <x:c r="F67" s="22"/>
      <x:c r="G67" s="22"/>
      <x:c r="H67" s="26"/>
      <x:c r="I67" s="22"/>
      <x:c r="J67" s="22"/>
      <x:c r="K67" s="22"/>
      <x:c r="L67" s="22"/>
      <x:c r="M67" s="22"/>
      <x:c r="N67" s="22"/>
      <x:c r="O67" s="22"/>
      <x:c r="P67" s="22"/>
      <x:c r="Q67" s="22"/>
      <x:c r="R67" s="22"/>
      <x:c r="S67" s="22" t="str">
        <x:f>IF(B67="","",SUM(K67:R67))</x:f>
      </x:c>
      <x:c r="T67" s="22" t="str">
        <x:f>IF(B67="","",IF(S67&gt;=13,"A",IF(S67&gt;=9,"B","C")))</x:f>
      </x:c>
      <x:c r="U67" s="22"/>
      <x:c r="V67" s="22"/>
      <x:c r="W67" s="22"/>
      <x:c r="X67" s="22"/>
      <x:c r="Y67" s="22"/>
    </x:row>
    <x:row r="68">
      <x:c r="A68" s="22" t="str">
        <x:f>IF(B68="","","OPP-"&amp;TEXT(ROW()-2,"0000"))</x:f>
      </x:c>
      <x:c r="B68" s="22"/>
      <x:c r="C68" s="22"/>
      <x:c r="D68" s="22"/>
      <x:c r="E68" s="22"/>
      <x:c r="F68" s="22"/>
      <x:c r="G68" s="22"/>
      <x:c r="H68" s="26"/>
      <x:c r="I68" s="22"/>
      <x:c r="J68" s="22"/>
      <x:c r="K68" s="22"/>
      <x:c r="L68" s="22"/>
      <x:c r="M68" s="22"/>
      <x:c r="N68" s="22"/>
      <x:c r="O68" s="22"/>
      <x:c r="P68" s="22"/>
      <x:c r="Q68" s="22"/>
      <x:c r="R68" s="22"/>
      <x:c r="S68" s="22" t="str">
        <x:f>IF(B68="","",SUM(K68:R68))</x:f>
      </x:c>
      <x:c r="T68" s="22" t="str">
        <x:f>IF(B68="","",IF(S68&gt;=13,"A",IF(S68&gt;=9,"B","C")))</x:f>
      </x:c>
      <x:c r="U68" s="22"/>
      <x:c r="V68" s="22"/>
      <x:c r="W68" s="22"/>
      <x:c r="X68" s="22"/>
      <x:c r="Y68" s="22"/>
    </x:row>
    <x:row r="69">
      <x:c r="A69" s="22" t="str">
        <x:f>IF(B69="","","OPP-"&amp;TEXT(ROW()-2,"0000"))</x:f>
      </x:c>
      <x:c r="B69" s="22"/>
      <x:c r="C69" s="22"/>
      <x:c r="D69" s="22"/>
      <x:c r="E69" s="22"/>
      <x:c r="F69" s="22"/>
      <x:c r="G69" s="22"/>
      <x:c r="H69" s="26"/>
      <x:c r="I69" s="22"/>
      <x:c r="J69" s="22"/>
      <x:c r="K69" s="22"/>
      <x:c r="L69" s="22"/>
      <x:c r="M69" s="22"/>
      <x:c r="N69" s="22"/>
      <x:c r="O69" s="22"/>
      <x:c r="P69" s="22"/>
      <x:c r="Q69" s="22"/>
      <x:c r="R69" s="22"/>
      <x:c r="S69" s="22" t="str">
        <x:f>IF(B69="","",SUM(K69:R69))</x:f>
      </x:c>
      <x:c r="T69" s="22" t="str">
        <x:f>IF(B69="","",IF(S69&gt;=13,"A",IF(S69&gt;=9,"B","C")))</x:f>
      </x:c>
      <x:c r="U69" s="22"/>
      <x:c r="V69" s="22"/>
      <x:c r="W69" s="22"/>
      <x:c r="X69" s="22"/>
      <x:c r="Y69" s="22"/>
    </x:row>
    <x:row r="70">
      <x:c r="A70" s="22" t="str">
        <x:f>IF(B70="","","OPP-"&amp;TEXT(ROW()-2,"0000"))</x:f>
      </x:c>
      <x:c r="B70" s="22"/>
      <x:c r="C70" s="22"/>
      <x:c r="D70" s="22"/>
      <x:c r="E70" s="22"/>
      <x:c r="F70" s="22"/>
      <x:c r="G70" s="22"/>
      <x:c r="H70" s="26"/>
      <x:c r="I70" s="22"/>
      <x:c r="J70" s="22"/>
      <x:c r="K70" s="22"/>
      <x:c r="L70" s="22"/>
      <x:c r="M70" s="22"/>
      <x:c r="N70" s="22"/>
      <x:c r="O70" s="22"/>
      <x:c r="P70" s="22"/>
      <x:c r="Q70" s="22"/>
      <x:c r="R70" s="22"/>
      <x:c r="S70" s="22" t="str">
        <x:f>IF(B70="","",SUM(K70:R70))</x:f>
      </x:c>
      <x:c r="T70" s="22" t="str">
        <x:f>IF(B70="","",IF(S70&gt;=13,"A",IF(S70&gt;=9,"B","C")))</x:f>
      </x:c>
      <x:c r="U70" s="22"/>
      <x:c r="V70" s="22"/>
      <x:c r="W70" s="22"/>
      <x:c r="X70" s="22"/>
      <x:c r="Y70" s="22"/>
    </x:row>
    <x:row r="71">
      <x:c r="A71" s="22" t="str">
        <x:f>IF(B71="","","OPP-"&amp;TEXT(ROW()-2,"0000"))</x:f>
      </x:c>
      <x:c r="B71" s="22"/>
      <x:c r="C71" s="22"/>
      <x:c r="D71" s="22"/>
      <x:c r="E71" s="22"/>
      <x:c r="F71" s="22"/>
      <x:c r="G71" s="22"/>
      <x:c r="H71" s="26"/>
      <x:c r="I71" s="22"/>
      <x:c r="J71" s="22"/>
      <x:c r="K71" s="22"/>
      <x:c r="L71" s="22"/>
      <x:c r="M71" s="22"/>
      <x:c r="N71" s="22"/>
      <x:c r="O71" s="22"/>
      <x:c r="P71" s="22"/>
      <x:c r="Q71" s="22"/>
      <x:c r="R71" s="22"/>
      <x:c r="S71" s="22" t="str">
        <x:f>IF(B71="","",SUM(K71:R71))</x:f>
      </x:c>
      <x:c r="T71" s="22" t="str">
        <x:f>IF(B71="","",IF(S71&gt;=13,"A",IF(S71&gt;=9,"B","C")))</x:f>
      </x:c>
      <x:c r="U71" s="22"/>
      <x:c r="V71" s="22"/>
      <x:c r="W71" s="22"/>
      <x:c r="X71" s="22"/>
      <x:c r="Y71" s="22"/>
    </x:row>
    <x:row r="72">
      <x:c r="A72" s="22" t="str">
        <x:f>IF(B72="","","OPP-"&amp;TEXT(ROW()-2,"0000"))</x:f>
      </x:c>
      <x:c r="B72" s="22"/>
      <x:c r="C72" s="22"/>
      <x:c r="D72" s="22"/>
      <x:c r="E72" s="22"/>
      <x:c r="F72" s="22"/>
      <x:c r="G72" s="22"/>
      <x:c r="H72" s="26"/>
      <x:c r="I72" s="22"/>
      <x:c r="J72" s="22"/>
      <x:c r="K72" s="22"/>
      <x:c r="L72" s="22"/>
      <x:c r="M72" s="22"/>
      <x:c r="N72" s="22"/>
      <x:c r="O72" s="22"/>
      <x:c r="P72" s="22"/>
      <x:c r="Q72" s="22"/>
      <x:c r="R72" s="22"/>
      <x:c r="S72" s="22" t="str">
        <x:f>IF(B72="","",SUM(K72:R72))</x:f>
      </x:c>
      <x:c r="T72" s="22" t="str">
        <x:f>IF(B72="","",IF(S72&gt;=13,"A",IF(S72&gt;=9,"B","C")))</x:f>
      </x:c>
      <x:c r="U72" s="22"/>
      <x:c r="V72" s="22"/>
      <x:c r="W72" s="22"/>
      <x:c r="X72" s="22"/>
      <x:c r="Y72" s="22"/>
    </x:row>
    <x:row r="73">
      <x:c r="A73" s="22" t="str">
        <x:f>IF(B73="","","OPP-"&amp;TEXT(ROW()-2,"0000"))</x:f>
      </x:c>
      <x:c r="B73" s="22"/>
      <x:c r="C73" s="22"/>
      <x:c r="D73" s="22"/>
      <x:c r="E73" s="22"/>
      <x:c r="F73" s="22"/>
      <x:c r="G73" s="22"/>
      <x:c r="H73" s="26"/>
      <x:c r="I73" s="22"/>
      <x:c r="J73" s="22"/>
      <x:c r="K73" s="22"/>
      <x:c r="L73" s="22"/>
      <x:c r="M73" s="22"/>
      <x:c r="N73" s="22"/>
      <x:c r="O73" s="22"/>
      <x:c r="P73" s="22"/>
      <x:c r="Q73" s="22"/>
      <x:c r="R73" s="22"/>
      <x:c r="S73" s="22" t="str">
        <x:f>IF(B73="","",SUM(K73:R73))</x:f>
      </x:c>
      <x:c r="T73" s="22" t="str">
        <x:f>IF(B73="","",IF(S73&gt;=13,"A",IF(S73&gt;=9,"B","C")))</x:f>
      </x:c>
      <x:c r="U73" s="22"/>
      <x:c r="V73" s="22"/>
      <x:c r="W73" s="22"/>
      <x:c r="X73" s="22"/>
      <x:c r="Y73" s="22"/>
    </x:row>
    <x:row r="74">
      <x:c r="A74" s="22" t="str">
        <x:f>IF(B74="","","OPP-"&amp;TEXT(ROW()-2,"0000"))</x:f>
      </x:c>
      <x:c r="B74" s="22"/>
      <x:c r="C74" s="22"/>
      <x:c r="D74" s="22"/>
      <x:c r="E74" s="22"/>
      <x:c r="F74" s="22"/>
      <x:c r="G74" s="22"/>
      <x:c r="H74" s="26"/>
      <x:c r="I74" s="22"/>
      <x:c r="J74" s="22"/>
      <x:c r="K74" s="22"/>
      <x:c r="L74" s="22"/>
      <x:c r="M74" s="22"/>
      <x:c r="N74" s="22"/>
      <x:c r="O74" s="22"/>
      <x:c r="P74" s="22"/>
      <x:c r="Q74" s="22"/>
      <x:c r="R74" s="22"/>
      <x:c r="S74" s="22" t="str">
        <x:f>IF(B74="","",SUM(K74:R74))</x:f>
      </x:c>
      <x:c r="T74" s="22" t="str">
        <x:f>IF(B74="","",IF(S74&gt;=13,"A",IF(S74&gt;=9,"B","C")))</x:f>
      </x:c>
      <x:c r="U74" s="22"/>
      <x:c r="V74" s="22"/>
      <x:c r="W74" s="22"/>
      <x:c r="X74" s="22"/>
      <x:c r="Y74" s="22"/>
    </x:row>
    <x:row r="75">
      <x:c r="A75" s="22" t="str">
        <x:f>IF(B75="","","OPP-"&amp;TEXT(ROW()-2,"0000"))</x:f>
      </x:c>
      <x:c r="B75" s="22"/>
      <x:c r="C75" s="22"/>
      <x:c r="D75" s="22"/>
      <x:c r="E75" s="22"/>
      <x:c r="F75" s="22"/>
      <x:c r="G75" s="22"/>
      <x:c r="H75" s="26"/>
      <x:c r="I75" s="22"/>
      <x:c r="J75" s="22"/>
      <x:c r="K75" s="22"/>
      <x:c r="L75" s="22"/>
      <x:c r="M75" s="22"/>
      <x:c r="N75" s="22"/>
      <x:c r="O75" s="22"/>
      <x:c r="P75" s="22"/>
      <x:c r="Q75" s="22"/>
      <x:c r="R75" s="22"/>
      <x:c r="S75" s="22" t="str">
        <x:f>IF(B75="","",SUM(K75:R75))</x:f>
      </x:c>
      <x:c r="T75" s="22" t="str">
        <x:f>IF(B75="","",IF(S75&gt;=13,"A",IF(S75&gt;=9,"B","C")))</x:f>
      </x:c>
      <x:c r="U75" s="22"/>
      <x:c r="V75" s="22"/>
      <x:c r="W75" s="22"/>
      <x:c r="X75" s="22"/>
      <x:c r="Y75" s="22"/>
    </x:row>
    <x:row r="76">
      <x:c r="A76" s="22" t="str">
        <x:f>IF(B76="","","OPP-"&amp;TEXT(ROW()-2,"0000"))</x:f>
      </x:c>
      <x:c r="B76" s="22"/>
      <x:c r="C76" s="22"/>
      <x:c r="D76" s="22"/>
      <x:c r="E76" s="22"/>
      <x:c r="F76" s="22"/>
      <x:c r="G76" s="22"/>
      <x:c r="H76" s="26"/>
      <x:c r="I76" s="22"/>
      <x:c r="J76" s="22"/>
      <x:c r="K76" s="22"/>
      <x:c r="L76" s="22"/>
      <x:c r="M76" s="22"/>
      <x:c r="N76" s="22"/>
      <x:c r="O76" s="22"/>
      <x:c r="P76" s="22"/>
      <x:c r="Q76" s="22"/>
      <x:c r="R76" s="22"/>
      <x:c r="S76" s="22" t="str">
        <x:f>IF(B76="","",SUM(K76:R76))</x:f>
      </x:c>
      <x:c r="T76" s="22" t="str">
        <x:f>IF(B76="","",IF(S76&gt;=13,"A",IF(S76&gt;=9,"B","C")))</x:f>
      </x:c>
      <x:c r="U76" s="22"/>
      <x:c r="V76" s="22"/>
      <x:c r="W76" s="22"/>
      <x:c r="X76" s="22"/>
      <x:c r="Y76" s="22"/>
    </x:row>
    <x:row r="77">
      <x:c r="A77" s="22" t="str">
        <x:f>IF(B77="","","OPP-"&amp;TEXT(ROW()-2,"0000"))</x:f>
      </x:c>
      <x:c r="B77" s="22"/>
      <x:c r="C77" s="22"/>
      <x:c r="D77" s="22"/>
      <x:c r="E77" s="22"/>
      <x:c r="F77" s="22"/>
      <x:c r="G77" s="22"/>
      <x:c r="H77" s="26"/>
      <x:c r="I77" s="22"/>
      <x:c r="J77" s="22"/>
      <x:c r="K77" s="22"/>
      <x:c r="L77" s="22"/>
      <x:c r="M77" s="22"/>
      <x:c r="N77" s="22"/>
      <x:c r="O77" s="22"/>
      <x:c r="P77" s="22"/>
      <x:c r="Q77" s="22"/>
      <x:c r="R77" s="22"/>
      <x:c r="S77" s="22" t="str">
        <x:f>IF(B77="","",SUM(K77:R77))</x:f>
      </x:c>
      <x:c r="T77" s="22" t="str">
        <x:f>IF(B77="","",IF(S77&gt;=13,"A",IF(S77&gt;=9,"B","C")))</x:f>
      </x:c>
      <x:c r="U77" s="22"/>
      <x:c r="V77" s="22"/>
      <x:c r="W77" s="22"/>
      <x:c r="X77" s="22"/>
      <x:c r="Y77" s="22"/>
    </x:row>
    <x:row r="78">
      <x:c r="A78" s="22" t="str">
        <x:f>IF(B78="","","OPP-"&amp;TEXT(ROW()-2,"0000"))</x:f>
      </x:c>
      <x:c r="B78" s="22"/>
      <x:c r="C78" s="22"/>
      <x:c r="D78" s="22"/>
      <x:c r="E78" s="22"/>
      <x:c r="F78" s="22"/>
      <x:c r="G78" s="22"/>
      <x:c r="H78" s="26"/>
      <x:c r="I78" s="22"/>
      <x:c r="J78" s="22"/>
      <x:c r="K78" s="22"/>
      <x:c r="L78" s="22"/>
      <x:c r="M78" s="22"/>
      <x:c r="N78" s="22"/>
      <x:c r="O78" s="22"/>
      <x:c r="P78" s="22"/>
      <x:c r="Q78" s="22"/>
      <x:c r="R78" s="22"/>
      <x:c r="S78" s="22" t="str">
        <x:f>IF(B78="","",SUM(K78:R78))</x:f>
      </x:c>
      <x:c r="T78" s="22" t="str">
        <x:f>IF(B78="","",IF(S78&gt;=13,"A",IF(S78&gt;=9,"B","C")))</x:f>
      </x:c>
      <x:c r="U78" s="22"/>
      <x:c r="V78" s="22"/>
      <x:c r="W78" s="22"/>
      <x:c r="X78" s="22"/>
      <x:c r="Y78" s="22"/>
    </x:row>
    <x:row r="79">
      <x:c r="A79" s="22" t="str">
        <x:f>IF(B79="","","OPP-"&amp;TEXT(ROW()-2,"0000"))</x:f>
      </x:c>
      <x:c r="B79" s="22"/>
      <x:c r="C79" s="22"/>
      <x:c r="D79" s="22"/>
      <x:c r="E79" s="22"/>
      <x:c r="F79" s="22"/>
      <x:c r="G79" s="22"/>
      <x:c r="H79" s="26"/>
      <x:c r="I79" s="22"/>
      <x:c r="J79" s="22"/>
      <x:c r="K79" s="22"/>
      <x:c r="L79" s="22"/>
      <x:c r="M79" s="22"/>
      <x:c r="N79" s="22"/>
      <x:c r="O79" s="22"/>
      <x:c r="P79" s="22"/>
      <x:c r="Q79" s="22"/>
      <x:c r="R79" s="22"/>
      <x:c r="S79" s="22" t="str">
        <x:f>IF(B79="","",SUM(K79:R79))</x:f>
      </x:c>
      <x:c r="T79" s="22" t="str">
        <x:f>IF(B79="","",IF(S79&gt;=13,"A",IF(S79&gt;=9,"B","C")))</x:f>
      </x:c>
      <x:c r="U79" s="22"/>
      <x:c r="V79" s="22"/>
      <x:c r="W79" s="22"/>
      <x:c r="X79" s="22"/>
      <x:c r="Y79" s="22"/>
    </x:row>
    <x:row r="80">
      <x:c r="A80" s="22" t="str">
        <x:f>IF(B80="","","OPP-"&amp;TEXT(ROW()-2,"0000"))</x:f>
      </x:c>
      <x:c r="B80" s="22"/>
      <x:c r="C80" s="22"/>
      <x:c r="D80" s="22"/>
      <x:c r="E80" s="22"/>
      <x:c r="F80" s="22"/>
      <x:c r="G80" s="22"/>
      <x:c r="H80" s="26"/>
      <x:c r="I80" s="22"/>
      <x:c r="J80" s="22"/>
      <x:c r="K80" s="22"/>
      <x:c r="L80" s="22"/>
      <x:c r="M80" s="22"/>
      <x:c r="N80" s="22"/>
      <x:c r="O80" s="22"/>
      <x:c r="P80" s="22"/>
      <x:c r="Q80" s="22"/>
      <x:c r="R80" s="22"/>
      <x:c r="S80" s="22" t="str">
        <x:f>IF(B80="","",SUM(K80:R80))</x:f>
      </x:c>
      <x:c r="T80" s="22" t="str">
        <x:f>IF(B80="","",IF(S80&gt;=13,"A",IF(S80&gt;=9,"B","C")))</x:f>
      </x:c>
      <x:c r="U80" s="22"/>
      <x:c r="V80" s="22"/>
      <x:c r="W80" s="22"/>
      <x:c r="X80" s="22"/>
      <x:c r="Y80" s="22"/>
    </x:row>
    <x:row r="81">
      <x:c r="A81" s="22" t="str">
        <x:f>IF(B81="","","OPP-"&amp;TEXT(ROW()-2,"0000"))</x:f>
      </x:c>
      <x:c r="B81" s="22"/>
      <x:c r="C81" s="22"/>
      <x:c r="D81" s="22"/>
      <x:c r="E81" s="22"/>
      <x:c r="F81" s="22"/>
      <x:c r="G81" s="22"/>
      <x:c r="H81" s="26"/>
      <x:c r="I81" s="22"/>
      <x:c r="J81" s="22"/>
      <x:c r="K81" s="22"/>
      <x:c r="L81" s="22"/>
      <x:c r="M81" s="22"/>
      <x:c r="N81" s="22"/>
      <x:c r="O81" s="22"/>
      <x:c r="P81" s="22"/>
      <x:c r="Q81" s="22"/>
      <x:c r="R81" s="22"/>
      <x:c r="S81" s="22" t="str">
        <x:f>IF(B81="","",SUM(K81:R81))</x:f>
      </x:c>
      <x:c r="T81" s="22" t="str">
        <x:f>IF(B81="","",IF(S81&gt;=13,"A",IF(S81&gt;=9,"B","C")))</x:f>
      </x:c>
      <x:c r="U81" s="22"/>
      <x:c r="V81" s="22"/>
      <x:c r="W81" s="22"/>
      <x:c r="X81" s="22"/>
      <x:c r="Y81" s="22"/>
    </x:row>
    <x:row r="82">
      <x:c r="A82" s="22" t="str">
        <x:f>IF(B82="","","OPP-"&amp;TEXT(ROW()-2,"0000"))</x:f>
      </x:c>
      <x:c r="B82" s="22"/>
      <x:c r="C82" s="22"/>
      <x:c r="D82" s="22"/>
      <x:c r="E82" s="22"/>
      <x:c r="F82" s="22"/>
      <x:c r="G82" s="22"/>
      <x:c r="H82" s="26"/>
      <x:c r="I82" s="22"/>
      <x:c r="J82" s="22"/>
      <x:c r="K82" s="22"/>
      <x:c r="L82" s="22"/>
      <x:c r="M82" s="22"/>
      <x:c r="N82" s="22"/>
      <x:c r="O82" s="22"/>
      <x:c r="P82" s="22"/>
      <x:c r="Q82" s="22"/>
      <x:c r="R82" s="22"/>
      <x:c r="S82" s="22" t="str">
        <x:f>IF(B82="","",SUM(K82:R82))</x:f>
      </x:c>
      <x:c r="T82" s="22" t="str">
        <x:f>IF(B82="","",IF(S82&gt;=13,"A",IF(S82&gt;=9,"B","C")))</x:f>
      </x:c>
      <x:c r="U82" s="22"/>
      <x:c r="V82" s="22"/>
      <x:c r="W82" s="22"/>
      <x:c r="X82" s="22"/>
      <x:c r="Y82" s="22"/>
    </x:row>
    <x:row r="83">
      <x:c r="A83" s="22" t="str">
        <x:f>IF(B83="","","OPP-"&amp;TEXT(ROW()-2,"0000"))</x:f>
      </x:c>
      <x:c r="B83" s="22"/>
      <x:c r="C83" s="22"/>
      <x:c r="D83" s="22"/>
      <x:c r="E83" s="22"/>
      <x:c r="F83" s="22"/>
      <x:c r="G83" s="22"/>
      <x:c r="H83" s="26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2" t="str">
        <x:f>IF(B83="","",SUM(K83:R83))</x:f>
      </x:c>
      <x:c r="T83" s="22" t="str">
        <x:f>IF(B83="","",IF(S83&gt;=13,"A",IF(S83&gt;=9,"B","C")))</x:f>
      </x:c>
      <x:c r="U83" s="22"/>
      <x:c r="V83" s="22"/>
      <x:c r="W83" s="22"/>
      <x:c r="X83" s="22"/>
      <x:c r="Y83" s="22"/>
    </x:row>
    <x:row r="84">
      <x:c r="A84" s="22" t="str">
        <x:f>IF(B84="","","OPP-"&amp;TEXT(ROW()-2,"0000"))</x:f>
      </x:c>
      <x:c r="B84" s="22"/>
      <x:c r="C84" s="22"/>
      <x:c r="D84" s="22"/>
      <x:c r="E84" s="22"/>
      <x:c r="F84" s="22"/>
      <x:c r="G84" s="22"/>
      <x:c r="H84" s="26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2" t="str">
        <x:f>IF(B84="","",SUM(K84:R84))</x:f>
      </x:c>
      <x:c r="T84" s="22" t="str">
        <x:f>IF(B84="","",IF(S84&gt;=13,"A",IF(S84&gt;=9,"B","C")))</x:f>
      </x:c>
      <x:c r="U84" s="22"/>
      <x:c r="V84" s="22"/>
      <x:c r="W84" s="22"/>
      <x:c r="X84" s="22"/>
      <x:c r="Y84" s="22"/>
    </x:row>
    <x:row r="85">
      <x:c r="A85" s="22" t="str">
        <x:f>IF(B85="","","OPP-"&amp;TEXT(ROW()-2,"0000"))</x:f>
      </x:c>
      <x:c r="B85" s="22"/>
      <x:c r="C85" s="22"/>
      <x:c r="D85" s="22"/>
      <x:c r="E85" s="22"/>
      <x:c r="F85" s="22"/>
      <x:c r="G85" s="22"/>
      <x:c r="H85" s="26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2" t="str">
        <x:f>IF(B85="","",SUM(K85:R85))</x:f>
      </x:c>
      <x:c r="T85" s="22" t="str">
        <x:f>IF(B85="","",IF(S85&gt;=13,"A",IF(S85&gt;=9,"B","C")))</x:f>
      </x:c>
      <x:c r="U85" s="22"/>
      <x:c r="V85" s="22"/>
      <x:c r="W85" s="22"/>
      <x:c r="X85" s="22"/>
      <x:c r="Y85" s="22"/>
    </x:row>
    <x:row r="86">
      <x:c r="A86" s="22" t="str">
        <x:f>IF(B86="","","OPP-"&amp;TEXT(ROW()-2,"0000"))</x:f>
      </x:c>
      <x:c r="B86" s="22"/>
      <x:c r="C86" s="22"/>
      <x:c r="D86" s="22"/>
      <x:c r="E86" s="22"/>
      <x:c r="F86" s="22"/>
      <x:c r="G86" s="22"/>
      <x:c r="H86" s="26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2" t="str">
        <x:f>IF(B86="","",SUM(K86:R86))</x:f>
      </x:c>
      <x:c r="T86" s="22" t="str">
        <x:f>IF(B86="","",IF(S86&gt;=13,"A",IF(S86&gt;=9,"B","C")))</x:f>
      </x:c>
      <x:c r="U86" s="22"/>
      <x:c r="V86" s="22"/>
      <x:c r="W86" s="22"/>
      <x:c r="X86" s="22"/>
      <x:c r="Y86" s="22"/>
    </x:row>
    <x:row r="87">
      <x:c r="A87" s="22" t="str">
        <x:f>IF(B87="","","OPP-"&amp;TEXT(ROW()-2,"0000"))</x:f>
      </x:c>
      <x:c r="B87" s="22"/>
      <x:c r="C87" s="22"/>
      <x:c r="D87" s="22"/>
      <x:c r="E87" s="22"/>
      <x:c r="F87" s="22"/>
      <x:c r="G87" s="22"/>
      <x:c r="H87" s="26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2" t="str">
        <x:f>IF(B87="","",SUM(K87:R87))</x:f>
      </x:c>
      <x:c r="T87" s="22" t="str">
        <x:f>IF(B87="","",IF(S87&gt;=13,"A",IF(S87&gt;=9,"B","C")))</x:f>
      </x:c>
      <x:c r="U87" s="22"/>
      <x:c r="V87" s="22"/>
      <x:c r="W87" s="22"/>
      <x:c r="X87" s="22"/>
      <x:c r="Y87" s="22"/>
    </x:row>
    <x:row r="88">
      <x:c r="A88" s="22" t="str">
        <x:f>IF(B88="","","OPP-"&amp;TEXT(ROW()-2,"0000"))</x:f>
      </x:c>
      <x:c r="B88" s="22"/>
      <x:c r="C88" s="22"/>
      <x:c r="D88" s="22"/>
      <x:c r="E88" s="22"/>
      <x:c r="F88" s="22"/>
      <x:c r="G88" s="22"/>
      <x:c r="H88" s="26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2" t="str">
        <x:f>IF(B88="","",SUM(K88:R88))</x:f>
      </x:c>
      <x:c r="T88" s="22" t="str">
        <x:f>IF(B88="","",IF(S88&gt;=13,"A",IF(S88&gt;=9,"B","C")))</x:f>
      </x:c>
      <x:c r="U88" s="22"/>
      <x:c r="V88" s="22"/>
      <x:c r="W88" s="22"/>
      <x:c r="X88" s="22"/>
      <x:c r="Y88" s="22"/>
    </x:row>
    <x:row r="89">
      <x:c r="A89" s="22" t="str">
        <x:f>IF(B89="","","OPP-"&amp;TEXT(ROW()-2,"0000"))</x:f>
      </x:c>
      <x:c r="B89" s="22"/>
      <x:c r="C89" s="22"/>
      <x:c r="D89" s="22"/>
      <x:c r="E89" s="22"/>
      <x:c r="F89" s="22"/>
      <x:c r="G89" s="22"/>
      <x:c r="H89" s="26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2" t="str">
        <x:f>IF(B89="","",SUM(K89:R89))</x:f>
      </x:c>
      <x:c r="T89" s="22" t="str">
        <x:f>IF(B89="","",IF(S89&gt;=13,"A",IF(S89&gt;=9,"B","C")))</x:f>
      </x:c>
      <x:c r="U89" s="22"/>
      <x:c r="V89" s="22"/>
      <x:c r="W89" s="22"/>
      <x:c r="X89" s="22"/>
      <x:c r="Y89" s="22"/>
    </x:row>
    <x:row r="90">
      <x:c r="A90" s="22" t="str">
        <x:f>IF(B90="","","OPP-"&amp;TEXT(ROW()-2,"0000"))</x:f>
      </x:c>
      <x:c r="B90" s="22"/>
      <x:c r="C90" s="22"/>
      <x:c r="D90" s="22"/>
      <x:c r="E90" s="22"/>
      <x:c r="F90" s="22"/>
      <x:c r="G90" s="22"/>
      <x:c r="H90" s="26"/>
      <x:c r="I90" s="22"/>
      <x:c r="J90" s="22"/>
      <x:c r="K90" s="22"/>
      <x:c r="L90" s="22"/>
      <x:c r="M90" s="22"/>
      <x:c r="N90" s="22"/>
      <x:c r="O90" s="22"/>
      <x:c r="P90" s="22"/>
      <x:c r="Q90" s="22"/>
      <x:c r="R90" s="22"/>
      <x:c r="S90" s="22" t="str">
        <x:f>IF(B90="","",SUM(K90:R90))</x:f>
      </x:c>
      <x:c r="T90" s="22" t="str">
        <x:f>IF(B90="","",IF(S90&gt;=13,"A",IF(S90&gt;=9,"B","C")))</x:f>
      </x:c>
      <x:c r="U90" s="22"/>
      <x:c r="V90" s="22"/>
      <x:c r="W90" s="22"/>
      <x:c r="X90" s="22"/>
      <x:c r="Y90" s="22"/>
    </x:row>
    <x:row r="91">
      <x:c r="A91" s="22" t="str">
        <x:f>IF(B91="","","OPP-"&amp;TEXT(ROW()-2,"0000"))</x:f>
      </x:c>
      <x:c r="B91" s="22"/>
      <x:c r="C91" s="22"/>
      <x:c r="D91" s="22"/>
      <x:c r="E91" s="22"/>
      <x:c r="F91" s="22"/>
      <x:c r="G91" s="22"/>
      <x:c r="H91" s="26"/>
      <x:c r="I91" s="22"/>
      <x:c r="J91" s="22"/>
      <x:c r="K91" s="22"/>
      <x:c r="L91" s="22"/>
      <x:c r="M91" s="22"/>
      <x:c r="N91" s="22"/>
      <x:c r="O91" s="22"/>
      <x:c r="P91" s="22"/>
      <x:c r="Q91" s="22"/>
      <x:c r="R91" s="22"/>
      <x:c r="S91" s="22" t="str">
        <x:f>IF(B91="","",SUM(K91:R91))</x:f>
      </x:c>
      <x:c r="T91" s="22" t="str">
        <x:f>IF(B91="","",IF(S91&gt;=13,"A",IF(S91&gt;=9,"B","C")))</x:f>
      </x:c>
      <x:c r="U91" s="22"/>
      <x:c r="V91" s="22"/>
      <x:c r="W91" s="22"/>
      <x:c r="X91" s="22"/>
      <x:c r="Y91" s="22"/>
    </x:row>
    <x:row r="92">
      <x:c r="A92" s="22" t="str">
        <x:f>IF(B92="","","OPP-"&amp;TEXT(ROW()-2,"0000"))</x:f>
      </x:c>
      <x:c r="B92" s="22"/>
      <x:c r="C92" s="22"/>
      <x:c r="D92" s="22"/>
      <x:c r="E92" s="22"/>
      <x:c r="F92" s="22"/>
      <x:c r="G92" s="22"/>
      <x:c r="H92" s="26"/>
      <x:c r="I92" s="22"/>
      <x:c r="J92" s="22"/>
      <x:c r="K92" s="22"/>
      <x:c r="L92" s="22"/>
      <x:c r="M92" s="22"/>
      <x:c r="N92" s="22"/>
      <x:c r="O92" s="22"/>
      <x:c r="P92" s="22"/>
      <x:c r="Q92" s="22"/>
      <x:c r="R92" s="22"/>
      <x:c r="S92" s="22" t="str">
        <x:f>IF(B92="","",SUM(K92:R92))</x:f>
      </x:c>
      <x:c r="T92" s="22" t="str">
        <x:f>IF(B92="","",IF(S92&gt;=13,"A",IF(S92&gt;=9,"B","C")))</x:f>
      </x:c>
      <x:c r="U92" s="22"/>
      <x:c r="V92" s="22"/>
      <x:c r="W92" s="22"/>
      <x:c r="X92" s="22"/>
      <x:c r="Y92" s="22"/>
    </x:row>
    <x:row r="93">
      <x:c r="A93" s="22" t="str">
        <x:f>IF(B93="","","OPP-"&amp;TEXT(ROW()-2,"0000"))</x:f>
      </x:c>
      <x:c r="B93" s="22"/>
      <x:c r="C93" s="22"/>
      <x:c r="D93" s="22"/>
      <x:c r="E93" s="22"/>
      <x:c r="F93" s="22"/>
      <x:c r="G93" s="22"/>
      <x:c r="H93" s="26"/>
      <x:c r="I93" s="22"/>
      <x:c r="J93" s="22"/>
      <x:c r="K93" s="22"/>
      <x:c r="L93" s="22"/>
      <x:c r="M93" s="22"/>
      <x:c r="N93" s="22"/>
      <x:c r="O93" s="22"/>
      <x:c r="P93" s="22"/>
      <x:c r="Q93" s="22"/>
      <x:c r="R93" s="22"/>
      <x:c r="S93" s="22" t="str">
        <x:f>IF(B93="","",SUM(K93:R93))</x:f>
      </x:c>
      <x:c r="T93" s="22" t="str">
        <x:f>IF(B93="","",IF(S93&gt;=13,"A",IF(S93&gt;=9,"B","C")))</x:f>
      </x:c>
      <x:c r="U93" s="22"/>
      <x:c r="V93" s="22"/>
      <x:c r="W93" s="22"/>
      <x:c r="X93" s="22"/>
      <x:c r="Y93" s="22"/>
    </x:row>
    <x:row r="94">
      <x:c r="A94" s="22" t="str">
        <x:f>IF(B94="","","OPP-"&amp;TEXT(ROW()-2,"0000"))</x:f>
      </x:c>
      <x:c r="B94" s="22"/>
      <x:c r="C94" s="22"/>
      <x:c r="D94" s="22"/>
      <x:c r="E94" s="22"/>
      <x:c r="F94" s="22"/>
      <x:c r="G94" s="22"/>
      <x:c r="H94" s="26"/>
      <x:c r="I94" s="22"/>
      <x:c r="J94" s="22"/>
      <x:c r="K94" s="22"/>
      <x:c r="L94" s="22"/>
      <x:c r="M94" s="22"/>
      <x:c r="N94" s="22"/>
      <x:c r="O94" s="22"/>
      <x:c r="P94" s="22"/>
      <x:c r="Q94" s="22"/>
      <x:c r="R94" s="22"/>
      <x:c r="S94" s="22" t="str">
        <x:f>IF(B94="","",SUM(K94:R94))</x:f>
      </x:c>
      <x:c r="T94" s="22" t="str">
        <x:f>IF(B94="","",IF(S94&gt;=13,"A",IF(S94&gt;=9,"B","C")))</x:f>
      </x:c>
      <x:c r="U94" s="22"/>
      <x:c r="V94" s="22"/>
      <x:c r="W94" s="22"/>
      <x:c r="X94" s="22"/>
      <x:c r="Y94" s="22"/>
    </x:row>
    <x:row r="95">
      <x:c r="A95" s="22" t="str">
        <x:f>IF(B95="","","OPP-"&amp;TEXT(ROW()-2,"0000"))</x:f>
      </x:c>
      <x:c r="B95" s="22"/>
      <x:c r="C95" s="22"/>
      <x:c r="D95" s="22"/>
      <x:c r="E95" s="22"/>
      <x:c r="F95" s="22"/>
      <x:c r="G95" s="22"/>
      <x:c r="H95" s="26"/>
      <x:c r="I95" s="22"/>
      <x:c r="J95" s="22"/>
      <x:c r="K95" s="22"/>
      <x:c r="L95" s="22"/>
      <x:c r="M95" s="22"/>
      <x:c r="N95" s="22"/>
      <x:c r="O95" s="22"/>
      <x:c r="P95" s="22"/>
      <x:c r="Q95" s="22"/>
      <x:c r="R95" s="22"/>
      <x:c r="S95" s="22" t="str">
        <x:f>IF(B95="","",SUM(K95:R95))</x:f>
      </x:c>
      <x:c r="T95" s="22" t="str">
        <x:f>IF(B95="","",IF(S95&gt;=13,"A",IF(S95&gt;=9,"B","C")))</x:f>
      </x:c>
      <x:c r="U95" s="22"/>
      <x:c r="V95" s="22"/>
      <x:c r="W95" s="22"/>
      <x:c r="X95" s="22"/>
      <x:c r="Y95" s="22"/>
    </x:row>
    <x:row r="96">
      <x:c r="A96" s="22" t="str">
        <x:f>IF(B96="","","OPP-"&amp;TEXT(ROW()-2,"0000"))</x:f>
      </x:c>
      <x:c r="B96" s="22"/>
      <x:c r="C96" s="22"/>
      <x:c r="D96" s="22"/>
      <x:c r="E96" s="22"/>
      <x:c r="F96" s="22"/>
      <x:c r="G96" s="22"/>
      <x:c r="H96" s="26"/>
      <x:c r="I96" s="22"/>
      <x:c r="J96" s="22"/>
      <x:c r="K96" s="22"/>
      <x:c r="L96" s="22"/>
      <x:c r="M96" s="22"/>
      <x:c r="N96" s="22"/>
      <x:c r="O96" s="22"/>
      <x:c r="P96" s="22"/>
      <x:c r="Q96" s="22"/>
      <x:c r="R96" s="22"/>
      <x:c r="S96" s="22" t="str">
        <x:f>IF(B96="","",SUM(K96:R96))</x:f>
      </x:c>
      <x:c r="T96" s="22" t="str">
        <x:f>IF(B96="","",IF(S96&gt;=13,"A",IF(S96&gt;=9,"B","C")))</x:f>
      </x:c>
      <x:c r="U96" s="22"/>
      <x:c r="V96" s="22"/>
      <x:c r="W96" s="22"/>
      <x:c r="X96" s="22"/>
      <x:c r="Y96" s="22"/>
    </x:row>
    <x:row r="97">
      <x:c r="A97" s="22" t="str">
        <x:f>IF(B97="","","OPP-"&amp;TEXT(ROW()-2,"0000"))</x:f>
      </x:c>
      <x:c r="B97" s="22"/>
      <x:c r="C97" s="22"/>
      <x:c r="D97" s="22"/>
      <x:c r="E97" s="22"/>
      <x:c r="F97" s="22"/>
      <x:c r="G97" s="22"/>
      <x:c r="H97" s="26"/>
      <x:c r="I97" s="22"/>
      <x:c r="J97" s="22"/>
      <x:c r="K97" s="22"/>
      <x:c r="L97" s="22"/>
      <x:c r="M97" s="22"/>
      <x:c r="N97" s="22"/>
      <x:c r="O97" s="22"/>
      <x:c r="P97" s="22"/>
      <x:c r="Q97" s="22"/>
      <x:c r="R97" s="22"/>
      <x:c r="S97" s="22" t="str">
        <x:f>IF(B97="","",SUM(K97:R97))</x:f>
      </x:c>
      <x:c r="T97" s="22" t="str">
        <x:f>IF(B97="","",IF(S97&gt;=13,"A",IF(S97&gt;=9,"B","C")))</x:f>
      </x:c>
      <x:c r="U97" s="22"/>
      <x:c r="V97" s="22"/>
      <x:c r="W97" s="22"/>
      <x:c r="X97" s="22"/>
      <x:c r="Y97" s="22"/>
    </x:row>
    <x:row r="98">
      <x:c r="A98" s="22" t="str">
        <x:f>IF(B98="","","OPP-"&amp;TEXT(ROW()-2,"0000"))</x:f>
      </x:c>
      <x:c r="B98" s="22"/>
      <x:c r="C98" s="22"/>
      <x:c r="D98" s="22"/>
      <x:c r="E98" s="22"/>
      <x:c r="F98" s="22"/>
      <x:c r="G98" s="22"/>
      <x:c r="H98" s="26"/>
      <x:c r="I98" s="22"/>
      <x:c r="J98" s="22"/>
      <x:c r="K98" s="22"/>
      <x:c r="L98" s="22"/>
      <x:c r="M98" s="22"/>
      <x:c r="N98" s="22"/>
      <x:c r="O98" s="22"/>
      <x:c r="P98" s="22"/>
      <x:c r="Q98" s="22"/>
      <x:c r="R98" s="22"/>
      <x:c r="S98" s="22" t="str">
        <x:f>IF(B98="","",SUM(K98:R98))</x:f>
      </x:c>
      <x:c r="T98" s="22" t="str">
        <x:f>IF(B98="","",IF(S98&gt;=13,"A",IF(S98&gt;=9,"B","C")))</x:f>
      </x:c>
      <x:c r="U98" s="22"/>
      <x:c r="V98" s="22"/>
      <x:c r="W98" s="22"/>
      <x:c r="X98" s="22"/>
      <x:c r="Y98" s="22"/>
    </x:row>
    <x:row r="99">
      <x:c r="A99" s="22" t="str">
        <x:f>IF(B99="","","OPP-"&amp;TEXT(ROW()-2,"0000"))</x:f>
      </x:c>
      <x:c r="B99" s="22"/>
      <x:c r="C99" s="22"/>
      <x:c r="D99" s="22"/>
      <x:c r="E99" s="22"/>
      <x:c r="F99" s="22"/>
      <x:c r="G99" s="22"/>
      <x:c r="H99" s="26"/>
      <x:c r="I99" s="22"/>
      <x:c r="J99" s="22"/>
      <x:c r="K99" s="22"/>
      <x:c r="L99" s="22"/>
      <x:c r="M99" s="22"/>
      <x:c r="N99" s="22"/>
      <x:c r="O99" s="22"/>
      <x:c r="P99" s="22"/>
      <x:c r="Q99" s="22"/>
      <x:c r="R99" s="22"/>
      <x:c r="S99" s="22" t="str">
        <x:f>IF(B99="","",SUM(K99:R99))</x:f>
      </x:c>
      <x:c r="T99" s="22" t="str">
        <x:f>IF(B99="","",IF(S99&gt;=13,"A",IF(S99&gt;=9,"B","C")))</x:f>
      </x:c>
      <x:c r="U99" s="22"/>
      <x:c r="V99" s="22"/>
      <x:c r="W99" s="22"/>
      <x:c r="X99" s="22"/>
      <x:c r="Y99" s="22"/>
    </x:row>
    <x:row r="100">
      <x:c r="A100" s="22" t="str">
        <x:f>IF(B100="","","OPP-"&amp;TEXT(ROW()-2,"0000"))</x:f>
      </x:c>
      <x:c r="B100" s="22"/>
      <x:c r="C100" s="22"/>
      <x:c r="D100" s="22"/>
      <x:c r="E100" s="22"/>
      <x:c r="F100" s="22"/>
      <x:c r="G100" s="22"/>
      <x:c r="H100" s="26"/>
      <x:c r="I100" s="22"/>
      <x:c r="J100" s="22"/>
      <x:c r="K100" s="22"/>
      <x:c r="L100" s="22"/>
      <x:c r="M100" s="22"/>
      <x:c r="N100" s="22"/>
      <x:c r="O100" s="22"/>
      <x:c r="P100" s="22"/>
      <x:c r="Q100" s="22"/>
      <x:c r="R100" s="22"/>
      <x:c r="S100" s="22" t="str">
        <x:f>IF(B100="","",SUM(K100:R100))</x:f>
      </x:c>
      <x:c r="T100" s="22" t="str">
        <x:f>IF(B100="","",IF(S100&gt;=13,"A",IF(S100&gt;=9,"B","C")))</x:f>
      </x:c>
      <x:c r="U100" s="22"/>
      <x:c r="V100" s="22"/>
      <x:c r="W100" s="22"/>
      <x:c r="X100" s="22"/>
      <x:c r="Y100" s="22"/>
    </x:row>
    <x:row r="101">
      <x:c r="A101" s="22" t="str">
        <x:f>IF(B101="","","OPP-"&amp;TEXT(ROW()-2,"0000"))</x:f>
      </x:c>
      <x:c r="B101" s="22"/>
      <x:c r="C101" s="22"/>
      <x:c r="D101" s="22"/>
      <x:c r="E101" s="22"/>
      <x:c r="F101" s="22"/>
      <x:c r="G101" s="22"/>
      <x:c r="H101" s="26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  <x:c r="S101" s="22" t="str">
        <x:f>IF(B101="","",SUM(K101:R101))</x:f>
      </x:c>
      <x:c r="T101" s="22" t="str">
        <x:f>IF(B101="","",IF(S101&gt;=13,"A",IF(S101&gt;=9,"B","C")))</x:f>
      </x:c>
      <x:c r="U101" s="22"/>
      <x:c r="V101" s="22"/>
      <x:c r="W101" s="22"/>
      <x:c r="X101" s="22"/>
      <x:c r="Y101" s="22"/>
    </x:row>
    <x:row r="102">
      <x:c r="A102" s="22" t="str">
        <x:f>IF(B102="","","OPP-"&amp;TEXT(ROW()-2,"0000"))</x:f>
      </x:c>
      <x:c r="B102" s="22"/>
      <x:c r="C102" s="22"/>
      <x:c r="D102" s="22"/>
      <x:c r="E102" s="22"/>
      <x:c r="F102" s="22"/>
      <x:c r="G102" s="22"/>
      <x:c r="H102" s="26"/>
      <x:c r="I102" s="22"/>
      <x:c r="J102" s="22"/>
      <x:c r="K102" s="22"/>
      <x:c r="L102" s="22"/>
      <x:c r="M102" s="22"/>
      <x:c r="N102" s="22"/>
      <x:c r="O102" s="22"/>
      <x:c r="P102" s="22"/>
      <x:c r="Q102" s="22"/>
      <x:c r="R102" s="22"/>
      <x:c r="S102" s="22" t="str">
        <x:f>IF(B102="","",SUM(K102:R102))</x:f>
      </x:c>
      <x:c r="T102" s="22" t="str">
        <x:f>IF(B102="","",IF(S102&gt;=13,"A",IF(S102&gt;=9,"B","C")))</x:f>
      </x:c>
      <x:c r="U102" s="22"/>
      <x:c r="V102" s="22"/>
      <x:c r="W102" s="22"/>
      <x:c r="X102" s="22"/>
      <x:c r="Y102" s="22"/>
    </x:row>
    <x:row r="103">
      <x:c r="A103" s="22" t="str">
        <x:f>IF(B103="","","OPP-"&amp;TEXT(ROW()-2,"0000"))</x:f>
      </x:c>
      <x:c r="B103" s="22"/>
      <x:c r="C103" s="22"/>
      <x:c r="D103" s="22"/>
      <x:c r="E103" s="22"/>
      <x:c r="F103" s="22"/>
      <x:c r="G103" s="22"/>
      <x:c r="H103" s="26"/>
      <x:c r="I103" s="22"/>
      <x:c r="J103" s="22"/>
      <x:c r="K103" s="22"/>
      <x:c r="L103" s="22"/>
      <x:c r="M103" s="22"/>
      <x:c r="N103" s="22"/>
      <x:c r="O103" s="22"/>
      <x:c r="P103" s="22"/>
      <x:c r="Q103" s="22"/>
      <x:c r="R103" s="22"/>
      <x:c r="S103" s="22" t="str">
        <x:f>IF(B103="","",SUM(K103:R103))</x:f>
      </x:c>
      <x:c r="T103" s="22" t="str">
        <x:f>IF(B103="","",IF(S103&gt;=13,"A",IF(S103&gt;=9,"B","C")))</x:f>
      </x:c>
      <x:c r="U103" s="22"/>
      <x:c r="V103" s="22"/>
      <x:c r="W103" s="22"/>
      <x:c r="X103" s="22"/>
      <x:c r="Y103" s="22"/>
    </x:row>
    <x:row r="104">
      <x:c r="A104" s="22" t="str">
        <x:f>IF(B104="","","OPP-"&amp;TEXT(ROW()-2,"0000"))</x:f>
      </x:c>
      <x:c r="B104" s="22"/>
      <x:c r="C104" s="22"/>
      <x:c r="D104" s="22"/>
      <x:c r="E104" s="22"/>
      <x:c r="F104" s="22"/>
      <x:c r="G104" s="22"/>
      <x:c r="H104" s="26"/>
      <x:c r="I104" s="22"/>
      <x:c r="J104" s="22"/>
      <x:c r="K104" s="22"/>
      <x:c r="L104" s="22"/>
      <x:c r="M104" s="22"/>
      <x:c r="N104" s="22"/>
      <x:c r="O104" s="22"/>
      <x:c r="P104" s="22"/>
      <x:c r="Q104" s="22"/>
      <x:c r="R104" s="22"/>
      <x:c r="S104" s="22" t="str">
        <x:f>IF(B104="","",SUM(K104:R104))</x:f>
      </x:c>
      <x:c r="T104" s="22" t="str">
        <x:f>IF(B104="","",IF(S104&gt;=13,"A",IF(S104&gt;=9,"B","C")))</x:f>
      </x:c>
      <x:c r="U104" s="22"/>
      <x:c r="V104" s="22"/>
      <x:c r="W104" s="22"/>
      <x:c r="X104" s="22"/>
      <x:c r="Y104" s="22"/>
    </x:row>
    <x:row r="105">
      <x:c r="A105" s="22" t="str">
        <x:f>IF(B105="","","OPP-"&amp;TEXT(ROW()-2,"0000"))</x:f>
      </x:c>
      <x:c r="B105" s="22"/>
      <x:c r="C105" s="22"/>
      <x:c r="D105" s="22"/>
      <x:c r="E105" s="22"/>
      <x:c r="F105" s="22"/>
      <x:c r="G105" s="22"/>
      <x:c r="H105" s="26"/>
      <x:c r="I105" s="22"/>
      <x:c r="J105" s="22"/>
      <x:c r="K105" s="22"/>
      <x:c r="L105" s="22"/>
      <x:c r="M105" s="22"/>
      <x:c r="N105" s="22"/>
      <x:c r="O105" s="22"/>
      <x:c r="P105" s="22"/>
      <x:c r="Q105" s="22"/>
      <x:c r="R105" s="22"/>
      <x:c r="S105" s="22" t="str">
        <x:f>IF(B105="","",SUM(K105:R105))</x:f>
      </x:c>
      <x:c r="T105" s="22" t="str">
        <x:f>IF(B105="","",IF(S105&gt;=13,"A",IF(S105&gt;=9,"B","C")))</x:f>
      </x:c>
      <x:c r="U105" s="22"/>
      <x:c r="V105" s="22"/>
      <x:c r="W105" s="22"/>
      <x:c r="X105" s="22"/>
      <x:c r="Y105" s="22"/>
    </x:row>
    <x:row r="106">
      <x:c r="A106" s="22" t="str">
        <x:f>IF(B106="","","OPP-"&amp;TEXT(ROW()-2,"0000"))</x:f>
      </x:c>
      <x:c r="B106" s="22"/>
      <x:c r="C106" s="22"/>
      <x:c r="D106" s="22"/>
      <x:c r="E106" s="22"/>
      <x:c r="F106" s="22"/>
      <x:c r="G106" s="22"/>
      <x:c r="H106" s="26"/>
      <x:c r="I106" s="22"/>
      <x:c r="J106" s="22"/>
      <x:c r="K106" s="22"/>
      <x:c r="L106" s="22"/>
      <x:c r="M106" s="22"/>
      <x:c r="N106" s="22"/>
      <x:c r="O106" s="22"/>
      <x:c r="P106" s="22"/>
      <x:c r="Q106" s="22"/>
      <x:c r="R106" s="22"/>
      <x:c r="S106" s="22" t="str">
        <x:f>IF(B106="","",SUM(K106:R106))</x:f>
      </x:c>
      <x:c r="T106" s="22" t="str">
        <x:f>IF(B106="","",IF(S106&gt;=13,"A",IF(S106&gt;=9,"B","C")))</x:f>
      </x:c>
      <x:c r="U106" s="22"/>
      <x:c r="V106" s="22"/>
      <x:c r="W106" s="22"/>
      <x:c r="X106" s="22"/>
      <x:c r="Y106" s="22"/>
    </x:row>
    <x:row r="107">
      <x:c r="A107" s="22" t="str">
        <x:f>IF(B107="","","OPP-"&amp;TEXT(ROW()-2,"0000"))</x:f>
      </x:c>
      <x:c r="B107" s="22"/>
      <x:c r="C107" s="22"/>
      <x:c r="D107" s="22"/>
      <x:c r="E107" s="22"/>
      <x:c r="F107" s="22"/>
      <x:c r="G107" s="22"/>
      <x:c r="H107" s="26"/>
      <x:c r="I107" s="22"/>
      <x:c r="J107" s="22"/>
      <x:c r="K107" s="22"/>
      <x:c r="L107" s="22"/>
      <x:c r="M107" s="22"/>
      <x:c r="N107" s="22"/>
      <x:c r="O107" s="22"/>
      <x:c r="P107" s="22"/>
      <x:c r="Q107" s="22"/>
      <x:c r="R107" s="22"/>
      <x:c r="S107" s="22" t="str">
        <x:f>IF(B107="","",SUM(K107:R107))</x:f>
      </x:c>
      <x:c r="T107" s="22" t="str">
        <x:f>IF(B107="","",IF(S107&gt;=13,"A",IF(S107&gt;=9,"B","C")))</x:f>
      </x:c>
      <x:c r="U107" s="22"/>
      <x:c r="V107" s="22"/>
      <x:c r="W107" s="22"/>
      <x:c r="X107" s="22"/>
      <x:c r="Y107" s="22"/>
    </x:row>
    <x:row r="108">
      <x:c r="A108" s="22" t="str">
        <x:f>IF(B108="","","OPP-"&amp;TEXT(ROW()-2,"0000"))</x:f>
      </x:c>
      <x:c r="B108" s="22"/>
      <x:c r="C108" s="22"/>
      <x:c r="D108" s="22"/>
      <x:c r="E108" s="22"/>
      <x:c r="F108" s="22"/>
      <x:c r="G108" s="22"/>
      <x:c r="H108" s="26"/>
      <x:c r="I108" s="22"/>
      <x:c r="J108" s="22"/>
      <x:c r="K108" s="22"/>
      <x:c r="L108" s="22"/>
      <x:c r="M108" s="22"/>
      <x:c r="N108" s="22"/>
      <x:c r="O108" s="22"/>
      <x:c r="P108" s="22"/>
      <x:c r="Q108" s="22"/>
      <x:c r="R108" s="22"/>
      <x:c r="S108" s="22" t="str">
        <x:f>IF(B108="","",SUM(K108:R108))</x:f>
      </x:c>
      <x:c r="T108" s="22" t="str">
        <x:f>IF(B108="","",IF(S108&gt;=13,"A",IF(S108&gt;=9,"B","C")))</x:f>
      </x:c>
      <x:c r="U108" s="22"/>
      <x:c r="V108" s="22"/>
      <x:c r="W108" s="22"/>
      <x:c r="X108" s="22"/>
      <x:c r="Y108" s="22"/>
    </x:row>
    <x:row r="109">
      <x:c r="A109" s="22" t="str">
        <x:f>IF(B109="","","OPP-"&amp;TEXT(ROW()-2,"0000"))</x:f>
      </x:c>
      <x:c r="B109" s="22"/>
      <x:c r="C109" s="22"/>
      <x:c r="D109" s="22"/>
      <x:c r="E109" s="22"/>
      <x:c r="F109" s="22"/>
      <x:c r="G109" s="22"/>
      <x:c r="H109" s="26"/>
      <x:c r="I109" s="22"/>
      <x:c r="J109" s="22"/>
      <x:c r="K109" s="22"/>
      <x:c r="L109" s="22"/>
      <x:c r="M109" s="22"/>
      <x:c r="N109" s="22"/>
      <x:c r="O109" s="22"/>
      <x:c r="P109" s="22"/>
      <x:c r="Q109" s="22"/>
      <x:c r="R109" s="22"/>
      <x:c r="S109" s="22" t="str">
        <x:f>IF(B109="","",SUM(K109:R109))</x:f>
      </x:c>
      <x:c r="T109" s="22" t="str">
        <x:f>IF(B109="","",IF(S109&gt;=13,"A",IF(S109&gt;=9,"B","C")))</x:f>
      </x:c>
      <x:c r="U109" s="22"/>
      <x:c r="V109" s="22"/>
      <x:c r="W109" s="22"/>
      <x:c r="X109" s="22"/>
      <x:c r="Y109" s="22"/>
    </x:row>
    <x:row r="110">
      <x:c r="A110" s="22" t="str">
        <x:f>IF(B110="","","OPP-"&amp;TEXT(ROW()-2,"0000"))</x:f>
      </x:c>
      <x:c r="B110" s="22"/>
      <x:c r="C110" s="22"/>
      <x:c r="D110" s="22"/>
      <x:c r="E110" s="22"/>
      <x:c r="F110" s="22"/>
      <x:c r="G110" s="22"/>
      <x:c r="H110" s="26"/>
      <x:c r="I110" s="22"/>
      <x:c r="J110" s="22"/>
      <x:c r="K110" s="22"/>
      <x:c r="L110" s="22"/>
      <x:c r="M110" s="22"/>
      <x:c r="N110" s="22"/>
      <x:c r="O110" s="22"/>
      <x:c r="P110" s="22"/>
      <x:c r="Q110" s="22"/>
      <x:c r="R110" s="22"/>
      <x:c r="S110" s="22" t="str">
        <x:f>IF(B110="","",SUM(K110:R110))</x:f>
      </x:c>
      <x:c r="T110" s="22" t="str">
        <x:f>IF(B110="","",IF(S110&gt;=13,"A",IF(S110&gt;=9,"B","C")))</x:f>
      </x:c>
      <x:c r="U110" s="22"/>
      <x:c r="V110" s="22"/>
      <x:c r="W110" s="22"/>
      <x:c r="X110" s="22"/>
      <x:c r="Y110" s="22"/>
    </x:row>
    <x:row r="111">
      <x:c r="A111" s="22" t="str">
        <x:f>IF(B111="","","OPP-"&amp;TEXT(ROW()-2,"0000"))</x:f>
      </x:c>
      <x:c r="B111" s="22"/>
      <x:c r="C111" s="22"/>
      <x:c r="D111" s="22"/>
      <x:c r="E111" s="22"/>
      <x:c r="F111" s="22"/>
      <x:c r="G111" s="22"/>
      <x:c r="H111" s="26"/>
      <x:c r="I111" s="22"/>
      <x:c r="J111" s="22"/>
      <x:c r="K111" s="22"/>
      <x:c r="L111" s="22"/>
      <x:c r="M111" s="22"/>
      <x:c r="N111" s="22"/>
      <x:c r="O111" s="22"/>
      <x:c r="P111" s="22"/>
      <x:c r="Q111" s="22"/>
      <x:c r="R111" s="22"/>
      <x:c r="S111" s="22" t="str">
        <x:f>IF(B111="","",SUM(K111:R111))</x:f>
      </x:c>
      <x:c r="T111" s="22" t="str">
        <x:f>IF(B111="","",IF(S111&gt;=13,"A",IF(S111&gt;=9,"B","C")))</x:f>
      </x:c>
      <x:c r="U111" s="22"/>
      <x:c r="V111" s="22"/>
      <x:c r="W111" s="22"/>
      <x:c r="X111" s="22"/>
      <x:c r="Y111" s="22"/>
    </x:row>
    <x:row r="112">
      <x:c r="A112" s="22" t="str">
        <x:f>IF(B112="","","OPP-"&amp;TEXT(ROW()-2,"0000"))</x:f>
      </x:c>
      <x:c r="B112" s="22"/>
      <x:c r="C112" s="22"/>
      <x:c r="D112" s="22"/>
      <x:c r="E112" s="22"/>
      <x:c r="F112" s="22"/>
      <x:c r="G112" s="22"/>
      <x:c r="H112" s="26"/>
      <x:c r="I112" s="22"/>
      <x:c r="J112" s="22"/>
      <x:c r="K112" s="22"/>
      <x:c r="L112" s="22"/>
      <x:c r="M112" s="22"/>
      <x:c r="N112" s="22"/>
      <x:c r="O112" s="22"/>
      <x:c r="P112" s="22"/>
      <x:c r="Q112" s="22"/>
      <x:c r="R112" s="22"/>
      <x:c r="S112" s="22" t="str">
        <x:f>IF(B112="","",SUM(K112:R112))</x:f>
      </x:c>
      <x:c r="T112" s="22" t="str">
        <x:f>IF(B112="","",IF(S112&gt;=13,"A",IF(S112&gt;=9,"B","C")))</x:f>
      </x:c>
      <x:c r="U112" s="22"/>
      <x:c r="V112" s="22"/>
      <x:c r="W112" s="22"/>
      <x:c r="X112" s="22"/>
      <x:c r="Y112" s="22"/>
    </x:row>
    <x:row r="113">
      <x:c r="A113" s="22" t="str">
        <x:f>IF(B113="","","OPP-"&amp;TEXT(ROW()-2,"0000"))</x:f>
      </x:c>
      <x:c r="B113" s="22"/>
      <x:c r="C113" s="22"/>
      <x:c r="D113" s="22"/>
      <x:c r="E113" s="22"/>
      <x:c r="F113" s="22"/>
      <x:c r="G113" s="22"/>
      <x:c r="H113" s="26"/>
      <x:c r="I113" s="22"/>
      <x:c r="J113" s="22"/>
      <x:c r="K113" s="22"/>
      <x:c r="L113" s="22"/>
      <x:c r="M113" s="22"/>
      <x:c r="N113" s="22"/>
      <x:c r="O113" s="22"/>
      <x:c r="P113" s="22"/>
      <x:c r="Q113" s="22"/>
      <x:c r="R113" s="22"/>
      <x:c r="S113" s="22" t="str">
        <x:f>IF(B113="","",SUM(K113:R113))</x:f>
      </x:c>
      <x:c r="T113" s="22" t="str">
        <x:f>IF(B113="","",IF(S113&gt;=13,"A",IF(S113&gt;=9,"B","C")))</x:f>
      </x:c>
      <x:c r="U113" s="22"/>
      <x:c r="V113" s="22"/>
      <x:c r="W113" s="22"/>
      <x:c r="X113" s="22"/>
      <x:c r="Y113" s="22"/>
    </x:row>
    <x:row r="114">
      <x:c r="A114" s="22" t="str">
        <x:f>IF(B114="","","OPP-"&amp;TEXT(ROW()-2,"0000"))</x:f>
      </x:c>
      <x:c r="B114" s="22"/>
      <x:c r="C114" s="22"/>
      <x:c r="D114" s="22"/>
      <x:c r="E114" s="22"/>
      <x:c r="F114" s="22"/>
      <x:c r="G114" s="22"/>
      <x:c r="H114" s="26"/>
      <x:c r="I114" s="22"/>
      <x:c r="J114" s="22"/>
      <x:c r="K114" s="22"/>
      <x:c r="L114" s="22"/>
      <x:c r="M114" s="22"/>
      <x:c r="N114" s="22"/>
      <x:c r="O114" s="22"/>
      <x:c r="P114" s="22"/>
      <x:c r="Q114" s="22"/>
      <x:c r="R114" s="22"/>
      <x:c r="S114" s="22" t="str">
        <x:f>IF(B114="","",SUM(K114:R114))</x:f>
      </x:c>
      <x:c r="T114" s="22" t="str">
        <x:f>IF(B114="","",IF(S114&gt;=13,"A",IF(S114&gt;=9,"B","C")))</x:f>
      </x:c>
      <x:c r="U114" s="22"/>
      <x:c r="V114" s="22"/>
      <x:c r="W114" s="22"/>
      <x:c r="X114" s="22"/>
      <x:c r="Y114" s="22"/>
    </x:row>
    <x:row r="115">
      <x:c r="A115" s="22" t="str">
        <x:f>IF(B115="","","OPP-"&amp;TEXT(ROW()-2,"0000"))</x:f>
      </x:c>
      <x:c r="B115" s="22"/>
      <x:c r="C115" s="22"/>
      <x:c r="D115" s="22"/>
      <x:c r="E115" s="22"/>
      <x:c r="F115" s="22"/>
      <x:c r="G115" s="22"/>
      <x:c r="H115" s="26"/>
      <x:c r="I115" s="22"/>
      <x:c r="J115" s="22"/>
      <x:c r="K115" s="22"/>
      <x:c r="L115" s="22"/>
      <x:c r="M115" s="22"/>
      <x:c r="N115" s="22"/>
      <x:c r="O115" s="22"/>
      <x:c r="P115" s="22"/>
      <x:c r="Q115" s="22"/>
      <x:c r="R115" s="22"/>
      <x:c r="S115" s="22" t="str">
        <x:f>IF(B115="","",SUM(K115:R115))</x:f>
      </x:c>
      <x:c r="T115" s="22" t="str">
        <x:f>IF(B115="","",IF(S115&gt;=13,"A",IF(S115&gt;=9,"B","C")))</x:f>
      </x:c>
      <x:c r="U115" s="22"/>
      <x:c r="V115" s="22"/>
      <x:c r="W115" s="22"/>
      <x:c r="X115" s="22"/>
      <x:c r="Y115" s="22"/>
    </x:row>
    <x:row r="116">
      <x:c r="A116" s="22" t="str">
        <x:f>IF(B116="","","OPP-"&amp;TEXT(ROW()-2,"0000"))</x:f>
      </x:c>
      <x:c r="B116" s="22"/>
      <x:c r="C116" s="22"/>
      <x:c r="D116" s="22"/>
      <x:c r="E116" s="22"/>
      <x:c r="F116" s="22"/>
      <x:c r="G116" s="22"/>
      <x:c r="H116" s="26"/>
      <x:c r="I116" s="22"/>
      <x:c r="J116" s="22"/>
      <x:c r="K116" s="22"/>
      <x:c r="L116" s="22"/>
      <x:c r="M116" s="22"/>
      <x:c r="N116" s="22"/>
      <x:c r="O116" s="22"/>
      <x:c r="P116" s="22"/>
      <x:c r="Q116" s="22"/>
      <x:c r="R116" s="22"/>
      <x:c r="S116" s="22" t="str">
        <x:f>IF(B116="","",SUM(K116:R116))</x:f>
      </x:c>
      <x:c r="T116" s="22" t="str">
        <x:f>IF(B116="","",IF(S116&gt;=13,"A",IF(S116&gt;=9,"B","C")))</x:f>
      </x:c>
      <x:c r="U116" s="22"/>
      <x:c r="V116" s="22"/>
      <x:c r="W116" s="22"/>
      <x:c r="X116" s="22"/>
      <x:c r="Y116" s="22"/>
    </x:row>
    <x:row r="117">
      <x:c r="A117" s="22" t="str">
        <x:f>IF(B117="","","OPP-"&amp;TEXT(ROW()-2,"0000"))</x:f>
      </x:c>
      <x:c r="B117" s="22"/>
      <x:c r="C117" s="22"/>
      <x:c r="D117" s="22"/>
      <x:c r="E117" s="22"/>
      <x:c r="F117" s="22"/>
      <x:c r="G117" s="22"/>
      <x:c r="H117" s="26"/>
      <x:c r="I117" s="22"/>
      <x:c r="J117" s="22"/>
      <x:c r="K117" s="22"/>
      <x:c r="L117" s="22"/>
      <x:c r="M117" s="22"/>
      <x:c r="N117" s="22"/>
      <x:c r="O117" s="22"/>
      <x:c r="P117" s="22"/>
      <x:c r="Q117" s="22"/>
      <x:c r="R117" s="22"/>
      <x:c r="S117" s="22" t="str">
        <x:f>IF(B117="","",SUM(K117:R117))</x:f>
      </x:c>
      <x:c r="T117" s="22" t="str">
        <x:f>IF(B117="","",IF(S117&gt;=13,"A",IF(S117&gt;=9,"B","C")))</x:f>
      </x:c>
      <x:c r="U117" s="22"/>
      <x:c r="V117" s="22"/>
      <x:c r="W117" s="22"/>
      <x:c r="X117" s="22"/>
      <x:c r="Y117" s="22"/>
    </x:row>
    <x:row r="118">
      <x:c r="A118" s="22" t="str">
        <x:f>IF(B118="","","OPP-"&amp;TEXT(ROW()-2,"0000"))</x:f>
      </x:c>
      <x:c r="B118" s="22"/>
      <x:c r="C118" s="22"/>
      <x:c r="D118" s="22"/>
      <x:c r="E118" s="22"/>
      <x:c r="F118" s="22"/>
      <x:c r="G118" s="22"/>
      <x:c r="H118" s="26"/>
      <x:c r="I118" s="22"/>
      <x:c r="J118" s="22"/>
      <x:c r="K118" s="22"/>
      <x:c r="L118" s="22"/>
      <x:c r="M118" s="22"/>
      <x:c r="N118" s="22"/>
      <x:c r="O118" s="22"/>
      <x:c r="P118" s="22"/>
      <x:c r="Q118" s="22"/>
      <x:c r="R118" s="22"/>
      <x:c r="S118" s="22" t="str">
        <x:f>IF(B118="","",SUM(K118:R118))</x:f>
      </x:c>
      <x:c r="T118" s="22" t="str">
        <x:f>IF(B118="","",IF(S118&gt;=13,"A",IF(S118&gt;=9,"B","C")))</x:f>
      </x:c>
      <x:c r="U118" s="22"/>
      <x:c r="V118" s="22"/>
      <x:c r="W118" s="22"/>
      <x:c r="X118" s="22"/>
      <x:c r="Y118" s="22"/>
    </x:row>
    <x:row r="119">
      <x:c r="A119" s="22" t="str">
        <x:f>IF(B119="","","OPP-"&amp;TEXT(ROW()-2,"0000"))</x:f>
      </x:c>
      <x:c r="B119" s="22"/>
      <x:c r="C119" s="22"/>
      <x:c r="D119" s="22"/>
      <x:c r="E119" s="22"/>
      <x:c r="F119" s="22"/>
      <x:c r="G119" s="22"/>
      <x:c r="H119" s="26"/>
      <x:c r="I119" s="22"/>
      <x:c r="J119" s="22"/>
      <x:c r="K119" s="22"/>
      <x:c r="L119" s="22"/>
      <x:c r="M119" s="22"/>
      <x:c r="N119" s="22"/>
      <x:c r="O119" s="22"/>
      <x:c r="P119" s="22"/>
      <x:c r="Q119" s="22"/>
      <x:c r="R119" s="22"/>
      <x:c r="S119" s="22" t="str">
        <x:f>IF(B119="","",SUM(K119:R119))</x:f>
      </x:c>
      <x:c r="T119" s="22" t="str">
        <x:f>IF(B119="","",IF(S119&gt;=13,"A",IF(S119&gt;=9,"B","C")))</x:f>
      </x:c>
      <x:c r="U119" s="22"/>
      <x:c r="V119" s="22"/>
      <x:c r="W119" s="22"/>
      <x:c r="X119" s="22"/>
      <x:c r="Y119" s="22"/>
    </x:row>
    <x:row r="120">
      <x:c r="A120" s="22" t="str">
        <x:f>IF(B120="","","OPP-"&amp;TEXT(ROW()-2,"0000"))</x:f>
      </x:c>
      <x:c r="B120" s="22"/>
      <x:c r="C120" s="22"/>
      <x:c r="D120" s="22"/>
      <x:c r="E120" s="22"/>
      <x:c r="F120" s="22"/>
      <x:c r="G120" s="22"/>
      <x:c r="H120" s="26"/>
      <x:c r="I120" s="22"/>
      <x:c r="J120" s="22"/>
      <x:c r="K120" s="22"/>
      <x:c r="L120" s="22"/>
      <x:c r="M120" s="22"/>
      <x:c r="N120" s="22"/>
      <x:c r="O120" s="22"/>
      <x:c r="P120" s="22"/>
      <x:c r="Q120" s="22"/>
      <x:c r="R120" s="22"/>
      <x:c r="S120" s="22" t="str">
        <x:f>IF(B120="","",SUM(K120:R120))</x:f>
      </x:c>
      <x:c r="T120" s="22" t="str">
        <x:f>IF(B120="","",IF(S120&gt;=13,"A",IF(S120&gt;=9,"B","C")))</x:f>
      </x:c>
      <x:c r="U120" s="22"/>
      <x:c r="V120" s="22"/>
      <x:c r="W120" s="22"/>
      <x:c r="X120" s="22"/>
      <x:c r="Y120" s="22"/>
    </x:row>
    <x:row r="121">
      <x:c r="A121" s="22" t="str">
        <x:f>IF(B121="","","OPP-"&amp;TEXT(ROW()-2,"0000"))</x:f>
      </x:c>
      <x:c r="B121" s="22"/>
      <x:c r="C121" s="22"/>
      <x:c r="D121" s="22"/>
      <x:c r="E121" s="22"/>
      <x:c r="F121" s="22"/>
      <x:c r="G121" s="22"/>
      <x:c r="H121" s="26"/>
      <x:c r="I121" s="22"/>
      <x:c r="J121" s="22"/>
      <x:c r="K121" s="22"/>
      <x:c r="L121" s="22"/>
      <x:c r="M121" s="22"/>
      <x:c r="N121" s="22"/>
      <x:c r="O121" s="22"/>
      <x:c r="P121" s="22"/>
      <x:c r="Q121" s="22"/>
      <x:c r="R121" s="22"/>
      <x:c r="S121" s="22" t="str">
        <x:f>IF(B121="","",SUM(K121:R121))</x:f>
      </x:c>
      <x:c r="T121" s="22" t="str">
        <x:f>IF(B121="","",IF(S121&gt;=13,"A",IF(S121&gt;=9,"B","C")))</x:f>
      </x:c>
      <x:c r="U121" s="22"/>
      <x:c r="V121" s="22"/>
      <x:c r="W121" s="22"/>
      <x:c r="X121" s="22"/>
      <x:c r="Y121" s="22"/>
    </x:row>
    <x:row r="122">
      <x:c r="A122" s="22" t="str">
        <x:f>IF(B122="","","OPP-"&amp;TEXT(ROW()-2,"0000"))</x:f>
      </x:c>
      <x:c r="B122" s="22"/>
      <x:c r="C122" s="22"/>
      <x:c r="D122" s="22"/>
      <x:c r="E122" s="22"/>
      <x:c r="F122" s="22"/>
      <x:c r="G122" s="22"/>
      <x:c r="H122" s="26"/>
      <x:c r="I122" s="22"/>
      <x:c r="J122" s="22"/>
      <x:c r="K122" s="22"/>
      <x:c r="L122" s="22"/>
      <x:c r="M122" s="22"/>
      <x:c r="N122" s="22"/>
      <x:c r="O122" s="22"/>
      <x:c r="P122" s="22"/>
      <x:c r="Q122" s="22"/>
      <x:c r="R122" s="22"/>
      <x:c r="S122" s="22" t="str">
        <x:f>IF(B122="","",SUM(K122:R122))</x:f>
      </x:c>
      <x:c r="T122" s="22" t="str">
        <x:f>IF(B122="","",IF(S122&gt;=13,"A",IF(S122&gt;=9,"B","C")))</x:f>
      </x:c>
      <x:c r="U122" s="22"/>
      <x:c r="V122" s="22"/>
      <x:c r="W122" s="22"/>
      <x:c r="X122" s="22"/>
      <x:c r="Y122" s="22"/>
    </x:row>
    <x:row r="123">
      <x:c r="A123" s="22" t="str">
        <x:f>IF(B123="","","OPP-"&amp;TEXT(ROW()-2,"0000"))</x:f>
      </x:c>
      <x:c r="B123" s="22"/>
      <x:c r="C123" s="22"/>
      <x:c r="D123" s="22"/>
      <x:c r="E123" s="22"/>
      <x:c r="F123" s="22"/>
      <x:c r="G123" s="22"/>
      <x:c r="H123" s="26"/>
      <x:c r="I123" s="22"/>
      <x:c r="J123" s="22"/>
      <x:c r="K123" s="22"/>
      <x:c r="L123" s="22"/>
      <x:c r="M123" s="22"/>
      <x:c r="N123" s="22"/>
      <x:c r="O123" s="22"/>
      <x:c r="P123" s="22"/>
      <x:c r="Q123" s="22"/>
      <x:c r="R123" s="22"/>
      <x:c r="S123" s="22" t="str">
        <x:f>IF(B123="","",SUM(K123:R123))</x:f>
      </x:c>
      <x:c r="T123" s="22" t="str">
        <x:f>IF(B123="","",IF(S123&gt;=13,"A",IF(S123&gt;=9,"B","C")))</x:f>
      </x:c>
      <x:c r="U123" s="22"/>
      <x:c r="V123" s="22"/>
      <x:c r="W123" s="22"/>
      <x:c r="X123" s="22"/>
      <x:c r="Y123" s="22"/>
    </x:row>
    <x:row r="124">
      <x:c r="A124" s="22" t="str">
        <x:f>IF(B124="","","OPP-"&amp;TEXT(ROW()-2,"0000"))</x:f>
      </x:c>
      <x:c r="B124" s="22"/>
      <x:c r="C124" s="22"/>
      <x:c r="D124" s="22"/>
      <x:c r="E124" s="22"/>
      <x:c r="F124" s="22"/>
      <x:c r="G124" s="22"/>
      <x:c r="H124" s="26"/>
      <x:c r="I124" s="22"/>
      <x:c r="J124" s="22"/>
      <x:c r="K124" s="22"/>
      <x:c r="L124" s="22"/>
      <x:c r="M124" s="22"/>
      <x:c r="N124" s="22"/>
      <x:c r="O124" s="22"/>
      <x:c r="P124" s="22"/>
      <x:c r="Q124" s="22"/>
      <x:c r="R124" s="22"/>
      <x:c r="S124" s="22" t="str">
        <x:f>IF(B124="","",SUM(K124:R124))</x:f>
      </x:c>
      <x:c r="T124" s="22" t="str">
        <x:f>IF(B124="","",IF(S124&gt;=13,"A",IF(S124&gt;=9,"B","C")))</x:f>
      </x:c>
      <x:c r="U124" s="22"/>
      <x:c r="V124" s="22"/>
      <x:c r="W124" s="22"/>
      <x:c r="X124" s="22"/>
      <x:c r="Y124" s="22"/>
    </x:row>
    <x:row r="125">
      <x:c r="A125" s="22" t="str">
        <x:f>IF(B125="","","OPP-"&amp;TEXT(ROW()-2,"0000"))</x:f>
      </x:c>
      <x:c r="B125" s="22"/>
      <x:c r="C125" s="22"/>
      <x:c r="D125" s="22"/>
      <x:c r="E125" s="22"/>
      <x:c r="F125" s="22"/>
      <x:c r="G125" s="22"/>
      <x:c r="H125" s="26"/>
      <x:c r="I125" s="22"/>
      <x:c r="J125" s="22"/>
      <x:c r="K125" s="22"/>
      <x:c r="L125" s="22"/>
      <x:c r="M125" s="22"/>
      <x:c r="N125" s="22"/>
      <x:c r="O125" s="22"/>
      <x:c r="P125" s="22"/>
      <x:c r="Q125" s="22"/>
      <x:c r="R125" s="22"/>
      <x:c r="S125" s="22" t="str">
        <x:f>IF(B125="","",SUM(K125:R125))</x:f>
      </x:c>
      <x:c r="T125" s="22" t="str">
        <x:f>IF(B125="","",IF(S125&gt;=13,"A",IF(S125&gt;=9,"B","C")))</x:f>
      </x:c>
      <x:c r="U125" s="22"/>
      <x:c r="V125" s="22"/>
      <x:c r="W125" s="22"/>
      <x:c r="X125" s="22"/>
      <x:c r="Y125" s="22"/>
    </x:row>
    <x:row r="126">
      <x:c r="A126" s="22" t="str">
        <x:f>IF(B126="","","OPP-"&amp;TEXT(ROW()-2,"0000"))</x:f>
      </x:c>
      <x:c r="B126" s="22"/>
      <x:c r="C126" s="22"/>
      <x:c r="D126" s="22"/>
      <x:c r="E126" s="22"/>
      <x:c r="F126" s="22"/>
      <x:c r="G126" s="22"/>
      <x:c r="H126" s="26"/>
      <x:c r="I126" s="22"/>
      <x:c r="J126" s="22"/>
      <x:c r="K126" s="22"/>
      <x:c r="L126" s="22"/>
      <x:c r="M126" s="22"/>
      <x:c r="N126" s="22"/>
      <x:c r="O126" s="22"/>
      <x:c r="P126" s="22"/>
      <x:c r="Q126" s="22"/>
      <x:c r="R126" s="22"/>
      <x:c r="S126" s="22" t="str">
        <x:f>IF(B126="","",SUM(K126:R126))</x:f>
      </x:c>
      <x:c r="T126" s="22" t="str">
        <x:f>IF(B126="","",IF(S126&gt;=13,"A",IF(S126&gt;=9,"B","C")))</x:f>
      </x:c>
      <x:c r="U126" s="22"/>
      <x:c r="V126" s="22"/>
      <x:c r="W126" s="22"/>
      <x:c r="X126" s="22"/>
      <x:c r="Y126" s="22"/>
    </x:row>
    <x:row r="127">
      <x:c r="A127" s="22" t="str">
        <x:f>IF(B127="","","OPP-"&amp;TEXT(ROW()-2,"0000"))</x:f>
      </x:c>
      <x:c r="B127" s="22"/>
      <x:c r="C127" s="22"/>
      <x:c r="D127" s="22"/>
      <x:c r="E127" s="22"/>
      <x:c r="F127" s="22"/>
      <x:c r="G127" s="22"/>
      <x:c r="H127" s="26"/>
      <x:c r="I127" s="22"/>
      <x:c r="J127" s="22"/>
      <x:c r="K127" s="22"/>
      <x:c r="L127" s="22"/>
      <x:c r="M127" s="22"/>
      <x:c r="N127" s="22"/>
      <x:c r="O127" s="22"/>
      <x:c r="P127" s="22"/>
      <x:c r="Q127" s="22"/>
      <x:c r="R127" s="22"/>
      <x:c r="S127" s="22" t="str">
        <x:f>IF(B127="","",SUM(K127:R127))</x:f>
      </x:c>
      <x:c r="T127" s="22" t="str">
        <x:f>IF(B127="","",IF(S127&gt;=13,"A",IF(S127&gt;=9,"B","C")))</x:f>
      </x:c>
      <x:c r="U127" s="22"/>
      <x:c r="V127" s="22"/>
      <x:c r="W127" s="22"/>
      <x:c r="X127" s="22"/>
      <x:c r="Y127" s="22"/>
    </x:row>
    <x:row r="128">
      <x:c r="A128" s="22" t="str">
        <x:f>IF(B128="","","OPP-"&amp;TEXT(ROW()-2,"0000"))</x:f>
      </x:c>
      <x:c r="B128" s="22"/>
      <x:c r="C128" s="22"/>
      <x:c r="D128" s="22"/>
      <x:c r="E128" s="22"/>
      <x:c r="F128" s="22"/>
      <x:c r="G128" s="22"/>
      <x:c r="H128" s="26"/>
      <x:c r="I128" s="22"/>
      <x:c r="J128" s="22"/>
      <x:c r="K128" s="22"/>
      <x:c r="L128" s="22"/>
      <x:c r="M128" s="22"/>
      <x:c r="N128" s="22"/>
      <x:c r="O128" s="22"/>
      <x:c r="P128" s="22"/>
      <x:c r="Q128" s="22"/>
      <x:c r="R128" s="22"/>
      <x:c r="S128" s="22" t="str">
        <x:f>IF(B128="","",SUM(K128:R128))</x:f>
      </x:c>
      <x:c r="T128" s="22" t="str">
        <x:f>IF(B128="","",IF(S128&gt;=13,"A",IF(S128&gt;=9,"B","C")))</x:f>
      </x:c>
      <x:c r="U128" s="22"/>
      <x:c r="V128" s="22"/>
      <x:c r="W128" s="22"/>
      <x:c r="X128" s="22"/>
      <x:c r="Y128" s="22"/>
    </x:row>
    <x:row r="129">
      <x:c r="A129" s="22" t="str">
        <x:f>IF(B129="","","OPP-"&amp;TEXT(ROW()-2,"0000"))</x:f>
      </x:c>
      <x:c r="B129" s="22"/>
      <x:c r="C129" s="22"/>
      <x:c r="D129" s="22"/>
      <x:c r="E129" s="22"/>
      <x:c r="F129" s="22"/>
      <x:c r="G129" s="22"/>
      <x:c r="H129" s="26"/>
      <x:c r="I129" s="22"/>
      <x:c r="J129" s="22"/>
      <x:c r="K129" s="22"/>
      <x:c r="L129" s="22"/>
      <x:c r="M129" s="22"/>
      <x:c r="N129" s="22"/>
      <x:c r="O129" s="22"/>
      <x:c r="P129" s="22"/>
      <x:c r="Q129" s="22"/>
      <x:c r="R129" s="22"/>
      <x:c r="S129" s="22" t="str">
        <x:f>IF(B129="","",SUM(K129:R129))</x:f>
      </x:c>
      <x:c r="T129" s="22" t="str">
        <x:f>IF(B129="","",IF(S129&gt;=13,"A",IF(S129&gt;=9,"B","C")))</x:f>
      </x:c>
      <x:c r="U129" s="22"/>
      <x:c r="V129" s="22"/>
      <x:c r="W129" s="22"/>
      <x:c r="X129" s="22"/>
      <x:c r="Y129" s="22"/>
    </x:row>
    <x:row r="130">
      <x:c r="A130" s="22" t="str">
        <x:f>IF(B130="","","OPP-"&amp;TEXT(ROW()-2,"0000"))</x:f>
      </x:c>
      <x:c r="B130" s="22"/>
      <x:c r="C130" s="22"/>
      <x:c r="D130" s="22"/>
      <x:c r="E130" s="22"/>
      <x:c r="F130" s="22"/>
      <x:c r="G130" s="22"/>
      <x:c r="H130" s="26"/>
      <x:c r="I130" s="22"/>
      <x:c r="J130" s="22"/>
      <x:c r="K130" s="22"/>
      <x:c r="L130" s="22"/>
      <x:c r="M130" s="22"/>
      <x:c r="N130" s="22"/>
      <x:c r="O130" s="22"/>
      <x:c r="P130" s="22"/>
      <x:c r="Q130" s="22"/>
      <x:c r="R130" s="22"/>
      <x:c r="S130" s="22" t="str">
        <x:f>IF(B130="","",SUM(K130:R130))</x:f>
      </x:c>
      <x:c r="T130" s="22" t="str">
        <x:f>IF(B130="","",IF(S130&gt;=13,"A",IF(S130&gt;=9,"B","C")))</x:f>
      </x:c>
      <x:c r="U130" s="22"/>
      <x:c r="V130" s="22"/>
      <x:c r="W130" s="22"/>
      <x:c r="X130" s="22"/>
      <x:c r="Y130" s="22"/>
    </x:row>
    <x:row r="131">
      <x:c r="A131" s="22" t="str">
        <x:f>IF(B131="","","OPP-"&amp;TEXT(ROW()-2,"0000"))</x:f>
      </x:c>
      <x:c r="B131" s="22"/>
      <x:c r="C131" s="22"/>
      <x:c r="D131" s="22"/>
      <x:c r="E131" s="22"/>
      <x:c r="F131" s="22"/>
      <x:c r="G131" s="22"/>
      <x:c r="H131" s="26"/>
      <x:c r="I131" s="22"/>
      <x:c r="J131" s="22"/>
      <x:c r="K131" s="22"/>
      <x:c r="L131" s="22"/>
      <x:c r="M131" s="22"/>
      <x:c r="N131" s="22"/>
      <x:c r="O131" s="22"/>
      <x:c r="P131" s="22"/>
      <x:c r="Q131" s="22"/>
      <x:c r="R131" s="22"/>
      <x:c r="S131" s="22" t="str">
        <x:f>IF(B131="","",SUM(K131:R131))</x:f>
      </x:c>
      <x:c r="T131" s="22" t="str">
        <x:f>IF(B131="","",IF(S131&gt;=13,"A",IF(S131&gt;=9,"B","C")))</x:f>
      </x:c>
      <x:c r="U131" s="22"/>
      <x:c r="V131" s="22"/>
      <x:c r="W131" s="22"/>
      <x:c r="X131" s="22"/>
      <x:c r="Y131" s="22"/>
    </x:row>
    <x:row r="132">
      <x:c r="A132" s="22" t="str">
        <x:f>IF(B132="","","OPP-"&amp;TEXT(ROW()-2,"0000"))</x:f>
      </x:c>
      <x:c r="B132" s="22"/>
      <x:c r="C132" s="22"/>
      <x:c r="D132" s="22"/>
      <x:c r="E132" s="22"/>
      <x:c r="F132" s="22"/>
      <x:c r="G132" s="22"/>
      <x:c r="H132" s="26"/>
      <x:c r="I132" s="22"/>
      <x:c r="J132" s="22"/>
      <x:c r="K132" s="22"/>
      <x:c r="L132" s="22"/>
      <x:c r="M132" s="22"/>
      <x:c r="N132" s="22"/>
      <x:c r="O132" s="22"/>
      <x:c r="P132" s="22"/>
      <x:c r="Q132" s="22"/>
      <x:c r="R132" s="22"/>
      <x:c r="S132" s="22" t="str">
        <x:f>IF(B132="","",SUM(K132:R132))</x:f>
      </x:c>
      <x:c r="T132" s="22" t="str">
        <x:f>IF(B132="","",IF(S132&gt;=13,"A",IF(S132&gt;=9,"B","C")))</x:f>
      </x:c>
      <x:c r="U132" s="22"/>
      <x:c r="V132" s="22"/>
      <x:c r="W132" s="22"/>
      <x:c r="X132" s="22"/>
      <x:c r="Y132" s="22"/>
    </x:row>
    <x:row r="133">
      <x:c r="A133" s="22" t="str">
        <x:f>IF(B133="","","OPP-"&amp;TEXT(ROW()-2,"0000"))</x:f>
      </x:c>
      <x:c r="B133" s="22"/>
      <x:c r="C133" s="22"/>
      <x:c r="D133" s="22"/>
      <x:c r="E133" s="22"/>
      <x:c r="F133" s="22"/>
      <x:c r="G133" s="22"/>
      <x:c r="H133" s="26"/>
      <x:c r="I133" s="22"/>
      <x:c r="J133" s="22"/>
      <x:c r="K133" s="22"/>
      <x:c r="L133" s="22"/>
      <x:c r="M133" s="22"/>
      <x:c r="N133" s="22"/>
      <x:c r="O133" s="22"/>
      <x:c r="P133" s="22"/>
      <x:c r="Q133" s="22"/>
      <x:c r="R133" s="22"/>
      <x:c r="S133" s="22" t="str">
        <x:f>IF(B133="","",SUM(K133:R133))</x:f>
      </x:c>
      <x:c r="T133" s="22" t="str">
        <x:f>IF(B133="","",IF(S133&gt;=13,"A",IF(S133&gt;=9,"B","C")))</x:f>
      </x:c>
      <x:c r="U133" s="22"/>
      <x:c r="V133" s="22"/>
      <x:c r="W133" s="22"/>
      <x:c r="X133" s="22"/>
      <x:c r="Y133" s="22"/>
    </x:row>
    <x:row r="134">
      <x:c r="A134" s="22" t="str">
        <x:f>IF(B134="","","OPP-"&amp;TEXT(ROW()-2,"0000"))</x:f>
      </x:c>
      <x:c r="B134" s="22"/>
      <x:c r="C134" s="22"/>
      <x:c r="D134" s="22"/>
      <x:c r="E134" s="22"/>
      <x:c r="F134" s="22"/>
      <x:c r="G134" s="22"/>
      <x:c r="H134" s="26"/>
      <x:c r="I134" s="22"/>
      <x:c r="J134" s="22"/>
      <x:c r="K134" s="22"/>
      <x:c r="L134" s="22"/>
      <x:c r="M134" s="22"/>
      <x:c r="N134" s="22"/>
      <x:c r="O134" s="22"/>
      <x:c r="P134" s="22"/>
      <x:c r="Q134" s="22"/>
      <x:c r="R134" s="22"/>
      <x:c r="S134" s="22" t="str">
        <x:f>IF(B134="","",SUM(K134:R134))</x:f>
      </x:c>
      <x:c r="T134" s="22" t="str">
        <x:f>IF(B134="","",IF(S134&gt;=13,"A",IF(S134&gt;=9,"B","C")))</x:f>
      </x:c>
      <x:c r="U134" s="22"/>
      <x:c r="V134" s="22"/>
      <x:c r="W134" s="22"/>
      <x:c r="X134" s="22"/>
      <x:c r="Y134" s="22"/>
    </x:row>
    <x:row r="135">
      <x:c r="A135" s="22" t="str">
        <x:f>IF(B135="","","OPP-"&amp;TEXT(ROW()-2,"0000"))</x:f>
      </x:c>
      <x:c r="B135" s="22"/>
      <x:c r="C135" s="22"/>
      <x:c r="D135" s="22"/>
      <x:c r="E135" s="22"/>
      <x:c r="F135" s="22"/>
      <x:c r="G135" s="22"/>
      <x:c r="H135" s="26"/>
      <x:c r="I135" s="22"/>
      <x:c r="J135" s="22"/>
      <x:c r="K135" s="22"/>
      <x:c r="L135" s="22"/>
      <x:c r="M135" s="22"/>
      <x:c r="N135" s="22"/>
      <x:c r="O135" s="22"/>
      <x:c r="P135" s="22"/>
      <x:c r="Q135" s="22"/>
      <x:c r="R135" s="22"/>
      <x:c r="S135" s="22" t="str">
        <x:f>IF(B135="","",SUM(K135:R135))</x:f>
      </x:c>
      <x:c r="T135" s="22" t="str">
        <x:f>IF(B135="","",IF(S135&gt;=13,"A",IF(S135&gt;=9,"B","C")))</x:f>
      </x:c>
      <x:c r="U135" s="22"/>
      <x:c r="V135" s="22"/>
      <x:c r="W135" s="22"/>
      <x:c r="X135" s="22"/>
      <x:c r="Y135" s="22"/>
    </x:row>
    <x:row r="136">
      <x:c r="A136" s="22" t="str">
        <x:f>IF(B136="","","OPP-"&amp;TEXT(ROW()-2,"0000"))</x:f>
      </x:c>
      <x:c r="B136" s="22"/>
      <x:c r="C136" s="22"/>
      <x:c r="D136" s="22"/>
      <x:c r="E136" s="22"/>
      <x:c r="F136" s="22"/>
      <x:c r="G136" s="22"/>
      <x:c r="H136" s="26"/>
      <x:c r="I136" s="22"/>
      <x:c r="J136" s="22"/>
      <x:c r="K136" s="22"/>
      <x:c r="L136" s="22"/>
      <x:c r="M136" s="22"/>
      <x:c r="N136" s="22"/>
      <x:c r="O136" s="22"/>
      <x:c r="P136" s="22"/>
      <x:c r="Q136" s="22"/>
      <x:c r="R136" s="22"/>
      <x:c r="S136" s="22" t="str">
        <x:f>IF(B136="","",SUM(K136:R136))</x:f>
      </x:c>
      <x:c r="T136" s="22" t="str">
        <x:f>IF(B136="","",IF(S136&gt;=13,"A",IF(S136&gt;=9,"B","C")))</x:f>
      </x:c>
      <x:c r="U136" s="22"/>
      <x:c r="V136" s="22"/>
      <x:c r="W136" s="22"/>
      <x:c r="X136" s="22"/>
      <x:c r="Y136" s="22"/>
    </x:row>
    <x:row r="137">
      <x:c r="A137" s="22" t="str">
        <x:f>IF(B137="","","OPP-"&amp;TEXT(ROW()-2,"0000"))</x:f>
      </x:c>
      <x:c r="B137" s="22"/>
      <x:c r="C137" s="22"/>
      <x:c r="D137" s="22"/>
      <x:c r="E137" s="22"/>
      <x:c r="F137" s="22"/>
      <x:c r="G137" s="22"/>
      <x:c r="H137" s="26"/>
      <x:c r="I137" s="22"/>
      <x:c r="J137" s="22"/>
      <x:c r="K137" s="22"/>
      <x:c r="L137" s="22"/>
      <x:c r="M137" s="22"/>
      <x:c r="N137" s="22"/>
      <x:c r="O137" s="22"/>
      <x:c r="P137" s="22"/>
      <x:c r="Q137" s="22"/>
      <x:c r="R137" s="22"/>
      <x:c r="S137" s="22" t="str">
        <x:f>IF(B137="","",SUM(K137:R137))</x:f>
      </x:c>
      <x:c r="T137" s="22" t="str">
        <x:f>IF(B137="","",IF(S137&gt;=13,"A",IF(S137&gt;=9,"B","C")))</x:f>
      </x:c>
      <x:c r="U137" s="22"/>
      <x:c r="V137" s="22"/>
      <x:c r="W137" s="22"/>
      <x:c r="X137" s="22"/>
      <x:c r="Y137" s="22"/>
    </x:row>
    <x:row r="138">
      <x:c r="A138" s="22" t="str">
        <x:f>IF(B138="","","OPP-"&amp;TEXT(ROW()-2,"0000"))</x:f>
      </x:c>
      <x:c r="B138" s="22"/>
      <x:c r="C138" s="22"/>
      <x:c r="D138" s="22"/>
      <x:c r="E138" s="22"/>
      <x:c r="F138" s="22"/>
      <x:c r="G138" s="22"/>
      <x:c r="H138" s="26"/>
      <x:c r="I138" s="22"/>
      <x:c r="J138" s="22"/>
      <x:c r="K138" s="22"/>
      <x:c r="L138" s="22"/>
      <x:c r="M138" s="22"/>
      <x:c r="N138" s="22"/>
      <x:c r="O138" s="22"/>
      <x:c r="P138" s="22"/>
      <x:c r="Q138" s="22"/>
      <x:c r="R138" s="22"/>
      <x:c r="S138" s="22" t="str">
        <x:f>IF(B138="","",SUM(K138:R138))</x:f>
      </x:c>
      <x:c r="T138" s="22" t="str">
        <x:f>IF(B138="","",IF(S138&gt;=13,"A",IF(S138&gt;=9,"B","C")))</x:f>
      </x:c>
      <x:c r="U138" s="22"/>
      <x:c r="V138" s="22"/>
      <x:c r="W138" s="22"/>
      <x:c r="X138" s="22"/>
      <x:c r="Y138" s="22"/>
    </x:row>
    <x:row r="139">
      <x:c r="A139" s="22" t="str">
        <x:f>IF(B139="","","OPP-"&amp;TEXT(ROW()-2,"0000"))</x:f>
      </x:c>
      <x:c r="B139" s="22"/>
      <x:c r="C139" s="22"/>
      <x:c r="D139" s="22"/>
      <x:c r="E139" s="22"/>
      <x:c r="F139" s="22"/>
      <x:c r="G139" s="22"/>
      <x:c r="H139" s="26"/>
      <x:c r="I139" s="22"/>
      <x:c r="J139" s="22"/>
      <x:c r="K139" s="22"/>
      <x:c r="L139" s="22"/>
      <x:c r="M139" s="22"/>
      <x:c r="N139" s="22"/>
      <x:c r="O139" s="22"/>
      <x:c r="P139" s="22"/>
      <x:c r="Q139" s="22"/>
      <x:c r="R139" s="22"/>
      <x:c r="S139" s="22" t="str">
        <x:f>IF(B139="","",SUM(K139:R139))</x:f>
      </x:c>
      <x:c r="T139" s="22" t="str">
        <x:f>IF(B139="","",IF(S139&gt;=13,"A",IF(S139&gt;=9,"B","C")))</x:f>
      </x:c>
      <x:c r="U139" s="22"/>
      <x:c r="V139" s="22"/>
      <x:c r="W139" s="22"/>
      <x:c r="X139" s="22"/>
      <x:c r="Y139" s="22"/>
    </x:row>
    <x:row r="140">
      <x:c r="A140" s="22" t="str">
        <x:f>IF(B140="","","OPP-"&amp;TEXT(ROW()-2,"0000"))</x:f>
      </x:c>
      <x:c r="B140" s="22"/>
      <x:c r="C140" s="22"/>
      <x:c r="D140" s="22"/>
      <x:c r="E140" s="22"/>
      <x:c r="F140" s="22"/>
      <x:c r="G140" s="22"/>
      <x:c r="H140" s="26"/>
      <x:c r="I140" s="22"/>
      <x:c r="J140" s="22"/>
      <x:c r="K140" s="22"/>
      <x:c r="L140" s="22"/>
      <x:c r="M140" s="22"/>
      <x:c r="N140" s="22"/>
      <x:c r="O140" s="22"/>
      <x:c r="P140" s="22"/>
      <x:c r="Q140" s="22"/>
      <x:c r="R140" s="22"/>
      <x:c r="S140" s="22" t="str">
        <x:f>IF(B140="","",SUM(K140:R140))</x:f>
      </x:c>
      <x:c r="T140" s="22" t="str">
        <x:f>IF(B140="","",IF(S140&gt;=13,"A",IF(S140&gt;=9,"B","C")))</x:f>
      </x:c>
      <x:c r="U140" s="22"/>
      <x:c r="V140" s="22"/>
      <x:c r="W140" s="22"/>
      <x:c r="X140" s="22"/>
      <x:c r="Y140" s="22"/>
    </x:row>
    <x:row r="141">
      <x:c r="A141" s="22" t="str">
        <x:f>IF(B141="","","OPP-"&amp;TEXT(ROW()-2,"0000"))</x:f>
      </x:c>
      <x:c r="B141" s="22"/>
      <x:c r="C141" s="22"/>
      <x:c r="D141" s="22"/>
      <x:c r="E141" s="22"/>
      <x:c r="F141" s="22"/>
      <x:c r="G141" s="22"/>
      <x:c r="H141" s="26"/>
      <x:c r="I141" s="22"/>
      <x:c r="J141" s="22"/>
      <x:c r="K141" s="22"/>
      <x:c r="L141" s="22"/>
      <x:c r="M141" s="22"/>
      <x:c r="N141" s="22"/>
      <x:c r="O141" s="22"/>
      <x:c r="P141" s="22"/>
      <x:c r="Q141" s="22"/>
      <x:c r="R141" s="22"/>
      <x:c r="S141" s="22" t="str">
        <x:f>IF(B141="","",SUM(K141:R141))</x:f>
      </x:c>
      <x:c r="T141" s="22" t="str">
        <x:f>IF(B141="","",IF(S141&gt;=13,"A",IF(S141&gt;=9,"B","C")))</x:f>
      </x:c>
      <x:c r="U141" s="22"/>
      <x:c r="V141" s="22"/>
      <x:c r="W141" s="22"/>
      <x:c r="X141" s="22"/>
      <x:c r="Y141" s="22"/>
    </x:row>
    <x:row r="142">
      <x:c r="A142" s="22" t="str">
        <x:f>IF(B142="","","OPP-"&amp;TEXT(ROW()-2,"0000"))</x:f>
      </x:c>
      <x:c r="B142" s="22"/>
      <x:c r="C142" s="22"/>
      <x:c r="D142" s="22"/>
      <x:c r="E142" s="22"/>
      <x:c r="F142" s="22"/>
      <x:c r="G142" s="22"/>
      <x:c r="H142" s="26"/>
      <x:c r="I142" s="22"/>
      <x:c r="J142" s="22"/>
      <x:c r="K142" s="22"/>
      <x:c r="L142" s="22"/>
      <x:c r="M142" s="22"/>
      <x:c r="N142" s="22"/>
      <x:c r="O142" s="22"/>
      <x:c r="P142" s="22"/>
      <x:c r="Q142" s="22"/>
      <x:c r="R142" s="22"/>
      <x:c r="S142" s="22" t="str">
        <x:f>IF(B142="","",SUM(K142:R142))</x:f>
      </x:c>
      <x:c r="T142" s="22" t="str">
        <x:f>IF(B142="","",IF(S142&gt;=13,"A",IF(S142&gt;=9,"B","C")))</x:f>
      </x:c>
      <x:c r="U142" s="22"/>
      <x:c r="V142" s="22"/>
      <x:c r="W142" s="22"/>
      <x:c r="X142" s="22"/>
      <x:c r="Y142" s="22"/>
    </x:row>
    <x:row r="143">
      <x:c r="A143" s="22" t="str">
        <x:f>IF(B143="","","OPP-"&amp;TEXT(ROW()-2,"0000"))</x:f>
      </x:c>
      <x:c r="B143" s="22"/>
      <x:c r="C143" s="22"/>
      <x:c r="D143" s="22"/>
      <x:c r="E143" s="22"/>
      <x:c r="F143" s="22"/>
      <x:c r="G143" s="22"/>
      <x:c r="H143" s="26"/>
      <x:c r="I143" s="22"/>
      <x:c r="J143" s="22"/>
      <x:c r="K143" s="22"/>
      <x:c r="L143" s="22"/>
      <x:c r="M143" s="22"/>
      <x:c r="N143" s="22"/>
      <x:c r="O143" s="22"/>
      <x:c r="P143" s="22"/>
      <x:c r="Q143" s="22"/>
      <x:c r="R143" s="22"/>
      <x:c r="S143" s="22" t="str">
        <x:f>IF(B143="","",SUM(K143:R143))</x:f>
      </x:c>
      <x:c r="T143" s="22" t="str">
        <x:f>IF(B143="","",IF(S143&gt;=13,"A",IF(S143&gt;=9,"B","C")))</x:f>
      </x:c>
      <x:c r="U143" s="22"/>
      <x:c r="V143" s="22"/>
      <x:c r="W143" s="22"/>
      <x:c r="X143" s="22"/>
      <x:c r="Y143" s="22"/>
    </x:row>
    <x:row r="144">
      <x:c r="A144" s="22" t="str">
        <x:f>IF(B144="","","OPP-"&amp;TEXT(ROW()-2,"0000"))</x:f>
      </x:c>
      <x:c r="B144" s="22"/>
      <x:c r="C144" s="22"/>
      <x:c r="D144" s="22"/>
      <x:c r="E144" s="22"/>
      <x:c r="F144" s="22"/>
      <x:c r="G144" s="22"/>
      <x:c r="H144" s="26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22"/>
      <x:c r="S144" s="22" t="str">
        <x:f>IF(B144="","",SUM(K144:R144))</x:f>
      </x:c>
      <x:c r="T144" s="22" t="str">
        <x:f>IF(B144="","",IF(S144&gt;=13,"A",IF(S144&gt;=9,"B","C")))</x:f>
      </x:c>
      <x:c r="U144" s="22"/>
      <x:c r="V144" s="22"/>
      <x:c r="W144" s="22"/>
      <x:c r="X144" s="22"/>
      <x:c r="Y144" s="22"/>
    </x:row>
    <x:row r="145">
      <x:c r="A145" s="22" t="str">
        <x:f>IF(B145="","","OPP-"&amp;TEXT(ROW()-2,"0000"))</x:f>
      </x:c>
      <x:c r="B145" s="22"/>
      <x:c r="C145" s="22"/>
      <x:c r="D145" s="22"/>
      <x:c r="E145" s="22"/>
      <x:c r="F145" s="22"/>
      <x:c r="G145" s="22"/>
      <x:c r="H145" s="26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22"/>
      <x:c r="S145" s="22" t="str">
        <x:f>IF(B145="","",SUM(K145:R145))</x:f>
      </x:c>
      <x:c r="T145" s="22" t="str">
        <x:f>IF(B145="","",IF(S145&gt;=13,"A",IF(S145&gt;=9,"B","C")))</x:f>
      </x:c>
      <x:c r="U145" s="22"/>
      <x:c r="V145" s="22"/>
      <x:c r="W145" s="22"/>
      <x:c r="X145" s="22"/>
      <x:c r="Y145" s="22"/>
    </x:row>
    <x:row r="146">
      <x:c r="A146" s="22" t="str">
        <x:f>IF(B146="","","OPP-"&amp;TEXT(ROW()-2,"0000"))</x:f>
      </x:c>
      <x:c r="B146" s="22"/>
      <x:c r="C146" s="22"/>
      <x:c r="D146" s="22"/>
      <x:c r="E146" s="22"/>
      <x:c r="F146" s="22"/>
      <x:c r="G146" s="22"/>
      <x:c r="H146" s="26"/>
      <x:c r="I146" s="22"/>
      <x:c r="J146" s="22"/>
      <x:c r="K146" s="22"/>
      <x:c r="L146" s="22"/>
      <x:c r="M146" s="22"/>
      <x:c r="N146" s="22"/>
      <x:c r="O146" s="22"/>
      <x:c r="P146" s="22"/>
      <x:c r="Q146" s="22"/>
      <x:c r="R146" s="22"/>
      <x:c r="S146" s="22" t="str">
        <x:f>IF(B146="","",SUM(K146:R146))</x:f>
      </x:c>
      <x:c r="T146" s="22" t="str">
        <x:f>IF(B146="","",IF(S146&gt;=13,"A",IF(S146&gt;=9,"B","C")))</x:f>
      </x:c>
      <x:c r="U146" s="22"/>
      <x:c r="V146" s="22"/>
      <x:c r="W146" s="22"/>
      <x:c r="X146" s="22"/>
      <x:c r="Y146" s="22"/>
    </x:row>
    <x:row r="147">
      <x:c r="A147" s="22" t="str">
        <x:f>IF(B147="","","OPP-"&amp;TEXT(ROW()-2,"0000"))</x:f>
      </x:c>
      <x:c r="B147" s="22"/>
      <x:c r="C147" s="22"/>
      <x:c r="D147" s="22"/>
      <x:c r="E147" s="22"/>
      <x:c r="F147" s="22"/>
      <x:c r="G147" s="22"/>
      <x:c r="H147" s="26"/>
      <x:c r="I147" s="22"/>
      <x:c r="J147" s="22"/>
      <x:c r="K147" s="22"/>
      <x:c r="L147" s="22"/>
      <x:c r="M147" s="22"/>
      <x:c r="N147" s="22"/>
      <x:c r="O147" s="22"/>
      <x:c r="P147" s="22"/>
      <x:c r="Q147" s="22"/>
      <x:c r="R147" s="22"/>
      <x:c r="S147" s="22" t="str">
        <x:f>IF(B147="","",SUM(K147:R147))</x:f>
      </x:c>
      <x:c r="T147" s="22" t="str">
        <x:f>IF(B147="","",IF(S147&gt;=13,"A",IF(S147&gt;=9,"B","C")))</x:f>
      </x:c>
      <x:c r="U147" s="22"/>
      <x:c r="V147" s="22"/>
      <x:c r="W147" s="22"/>
      <x:c r="X147" s="22"/>
      <x:c r="Y147" s="22"/>
    </x:row>
    <x:row r="148">
      <x:c r="A148" s="22" t="str">
        <x:f>IF(B148="","","OPP-"&amp;TEXT(ROW()-2,"0000"))</x:f>
      </x:c>
      <x:c r="B148" s="22"/>
      <x:c r="C148" s="22"/>
      <x:c r="D148" s="22"/>
      <x:c r="E148" s="22"/>
      <x:c r="F148" s="22"/>
      <x:c r="G148" s="22"/>
      <x:c r="H148" s="26"/>
      <x:c r="I148" s="22"/>
      <x:c r="J148" s="22"/>
      <x:c r="K148" s="22"/>
      <x:c r="L148" s="22"/>
      <x:c r="M148" s="22"/>
      <x:c r="N148" s="22"/>
      <x:c r="O148" s="22"/>
      <x:c r="P148" s="22"/>
      <x:c r="Q148" s="22"/>
      <x:c r="R148" s="22"/>
      <x:c r="S148" s="22" t="str">
        <x:f>IF(B148="","",SUM(K148:R148))</x:f>
      </x:c>
      <x:c r="T148" s="22" t="str">
        <x:f>IF(B148="","",IF(S148&gt;=13,"A",IF(S148&gt;=9,"B","C")))</x:f>
      </x:c>
      <x:c r="U148" s="22"/>
      <x:c r="V148" s="22"/>
      <x:c r="W148" s="22"/>
      <x:c r="X148" s="22"/>
      <x:c r="Y148" s="22"/>
    </x:row>
    <x:row r="149">
      <x:c r="A149" s="22" t="str">
        <x:f>IF(B149="","","OPP-"&amp;TEXT(ROW()-2,"0000"))</x:f>
      </x:c>
      <x:c r="B149" s="22"/>
      <x:c r="C149" s="22"/>
      <x:c r="D149" s="22"/>
      <x:c r="E149" s="22"/>
      <x:c r="F149" s="22"/>
      <x:c r="G149" s="22"/>
      <x:c r="H149" s="26"/>
      <x:c r="I149" s="22"/>
      <x:c r="J149" s="22"/>
      <x:c r="K149" s="22"/>
      <x:c r="L149" s="22"/>
      <x:c r="M149" s="22"/>
      <x:c r="N149" s="22"/>
      <x:c r="O149" s="22"/>
      <x:c r="P149" s="22"/>
      <x:c r="Q149" s="22"/>
      <x:c r="R149" s="22"/>
      <x:c r="S149" s="22" t="str">
        <x:f>IF(B149="","",SUM(K149:R149))</x:f>
      </x:c>
      <x:c r="T149" s="22" t="str">
        <x:f>IF(B149="","",IF(S149&gt;=13,"A",IF(S149&gt;=9,"B","C")))</x:f>
      </x:c>
      <x:c r="U149" s="22"/>
      <x:c r="V149" s="22"/>
      <x:c r="W149" s="22"/>
      <x:c r="X149" s="22"/>
      <x:c r="Y149" s="22"/>
    </x:row>
    <x:row r="150">
      <x:c r="A150" s="22" t="str">
        <x:f>IF(B150="","","OPP-"&amp;TEXT(ROW()-2,"0000"))</x:f>
      </x:c>
      <x:c r="B150" s="22"/>
      <x:c r="C150" s="22"/>
      <x:c r="D150" s="22"/>
      <x:c r="E150" s="22"/>
      <x:c r="F150" s="22"/>
      <x:c r="G150" s="22"/>
      <x:c r="H150" s="26"/>
      <x:c r="I150" s="22"/>
      <x:c r="J150" s="22"/>
      <x:c r="K150" s="22"/>
      <x:c r="L150" s="22"/>
      <x:c r="M150" s="22"/>
      <x:c r="N150" s="22"/>
      <x:c r="O150" s="22"/>
      <x:c r="P150" s="22"/>
      <x:c r="Q150" s="22"/>
      <x:c r="R150" s="22"/>
      <x:c r="S150" s="22" t="str">
        <x:f>IF(B150="","",SUM(K150:R150))</x:f>
      </x:c>
      <x:c r="T150" s="22" t="str">
        <x:f>IF(B150="","",IF(S150&gt;=13,"A",IF(S150&gt;=9,"B","C")))</x:f>
      </x:c>
      <x:c r="U150" s="22"/>
      <x:c r="V150" s="22"/>
      <x:c r="W150" s="22"/>
      <x:c r="X150" s="22"/>
      <x:c r="Y150" s="22"/>
    </x:row>
    <x:row r="151">
      <x:c r="A151" s="22" t="str">
        <x:f>IF(B151="","","OPP-"&amp;TEXT(ROW()-2,"0000"))</x:f>
      </x:c>
      <x:c r="B151" s="22"/>
      <x:c r="C151" s="22"/>
      <x:c r="D151" s="22"/>
      <x:c r="E151" s="22"/>
      <x:c r="F151" s="22"/>
      <x:c r="G151" s="22"/>
      <x:c r="H151" s="26"/>
      <x:c r="I151" s="22"/>
      <x:c r="J151" s="22"/>
      <x:c r="K151" s="22"/>
      <x:c r="L151" s="22"/>
      <x:c r="M151" s="22"/>
      <x:c r="N151" s="22"/>
      <x:c r="O151" s="22"/>
      <x:c r="P151" s="22"/>
      <x:c r="Q151" s="22"/>
      <x:c r="R151" s="22"/>
      <x:c r="S151" s="22" t="str">
        <x:f>IF(B151="","",SUM(K151:R151))</x:f>
      </x:c>
      <x:c r="T151" s="22" t="str">
        <x:f>IF(B151="","",IF(S151&gt;=13,"A",IF(S151&gt;=9,"B","C")))</x:f>
      </x:c>
      <x:c r="U151" s="22"/>
      <x:c r="V151" s="22"/>
      <x:c r="W151" s="22"/>
      <x:c r="X151" s="22"/>
      <x:c r="Y151" s="22"/>
    </x:row>
    <x:row r="152">
      <x:c r="A152" s="22" t="str">
        <x:f>IF(B152="","","OPP-"&amp;TEXT(ROW()-2,"0000"))</x:f>
      </x:c>
      <x:c r="B152" s="22"/>
      <x:c r="C152" s="22"/>
      <x:c r="D152" s="22"/>
      <x:c r="E152" s="22"/>
      <x:c r="F152" s="22"/>
      <x:c r="G152" s="22"/>
      <x:c r="H152" s="26"/>
      <x:c r="I152" s="22"/>
      <x:c r="J152" s="22"/>
      <x:c r="K152" s="22"/>
      <x:c r="L152" s="22"/>
      <x:c r="M152" s="22"/>
      <x:c r="N152" s="22"/>
      <x:c r="O152" s="22"/>
      <x:c r="P152" s="22"/>
      <x:c r="Q152" s="22"/>
      <x:c r="R152" s="22"/>
      <x:c r="S152" s="22" t="str">
        <x:f>IF(B152="","",SUM(K152:R152))</x:f>
      </x:c>
      <x:c r="T152" s="22" t="str">
        <x:f>IF(B152="","",IF(S152&gt;=13,"A",IF(S152&gt;=9,"B","C")))</x:f>
      </x:c>
      <x:c r="U152" s="22"/>
      <x:c r="V152" s="22"/>
      <x:c r="W152" s="22"/>
      <x:c r="X152" s="22"/>
      <x:c r="Y152" s="22"/>
    </x:row>
    <x:row r="153">
      <x:c r="A153" s="22" t="str">
        <x:f>IF(B153="","","OPP-"&amp;TEXT(ROW()-2,"0000"))</x:f>
      </x:c>
      <x:c r="B153" s="22"/>
      <x:c r="C153" s="22"/>
      <x:c r="D153" s="22"/>
      <x:c r="E153" s="22"/>
      <x:c r="F153" s="22"/>
      <x:c r="G153" s="22"/>
      <x:c r="H153" s="26"/>
      <x:c r="I153" s="22"/>
      <x:c r="J153" s="22"/>
      <x:c r="K153" s="22"/>
      <x:c r="L153" s="22"/>
      <x:c r="M153" s="22"/>
      <x:c r="N153" s="22"/>
      <x:c r="O153" s="22"/>
      <x:c r="P153" s="22"/>
      <x:c r="Q153" s="22"/>
      <x:c r="R153" s="22"/>
      <x:c r="S153" s="22" t="str">
        <x:f>IF(B153="","",SUM(K153:R153))</x:f>
      </x:c>
      <x:c r="T153" s="22" t="str">
        <x:f>IF(B153="","",IF(S153&gt;=13,"A",IF(S153&gt;=9,"B","C")))</x:f>
      </x:c>
      <x:c r="U153" s="22"/>
      <x:c r="V153" s="22"/>
      <x:c r="W153" s="22"/>
      <x:c r="X153" s="22"/>
      <x:c r="Y153" s="22"/>
    </x:row>
    <x:row r="154">
      <x:c r="A154" s="22" t="str">
        <x:f>IF(B154="","","OPP-"&amp;TEXT(ROW()-2,"0000"))</x:f>
      </x:c>
      <x:c r="B154" s="22"/>
      <x:c r="C154" s="22"/>
      <x:c r="D154" s="22"/>
      <x:c r="E154" s="22"/>
      <x:c r="F154" s="22"/>
      <x:c r="G154" s="22"/>
      <x:c r="H154" s="26"/>
      <x:c r="I154" s="22"/>
      <x:c r="J154" s="22"/>
      <x:c r="K154" s="22"/>
      <x:c r="L154" s="22"/>
      <x:c r="M154" s="22"/>
      <x:c r="N154" s="22"/>
      <x:c r="O154" s="22"/>
      <x:c r="P154" s="22"/>
      <x:c r="Q154" s="22"/>
      <x:c r="R154" s="22"/>
      <x:c r="S154" s="22" t="str">
        <x:f>IF(B154="","",SUM(K154:R154))</x:f>
      </x:c>
      <x:c r="T154" s="22" t="str">
        <x:f>IF(B154="","",IF(S154&gt;=13,"A",IF(S154&gt;=9,"B","C")))</x:f>
      </x:c>
      <x:c r="U154" s="22"/>
      <x:c r="V154" s="22"/>
      <x:c r="W154" s="22"/>
      <x:c r="X154" s="22"/>
      <x:c r="Y154" s="22"/>
    </x:row>
    <x:row r="155">
      <x:c r="A155" s="22" t="str">
        <x:f>IF(B155="","","OPP-"&amp;TEXT(ROW()-2,"0000"))</x:f>
      </x:c>
      <x:c r="B155" s="22"/>
      <x:c r="C155" s="22"/>
      <x:c r="D155" s="22"/>
      <x:c r="E155" s="22"/>
      <x:c r="F155" s="22"/>
      <x:c r="G155" s="22"/>
      <x:c r="H155" s="26"/>
      <x:c r="I155" s="22"/>
      <x:c r="J155" s="22"/>
      <x:c r="K155" s="22"/>
      <x:c r="L155" s="22"/>
      <x:c r="M155" s="22"/>
      <x:c r="N155" s="22"/>
      <x:c r="O155" s="22"/>
      <x:c r="P155" s="22"/>
      <x:c r="Q155" s="22"/>
      <x:c r="R155" s="22"/>
      <x:c r="S155" s="22" t="str">
        <x:f>IF(B155="","",SUM(K155:R155))</x:f>
      </x:c>
      <x:c r="T155" s="22" t="str">
        <x:f>IF(B155="","",IF(S155&gt;=13,"A",IF(S155&gt;=9,"B","C")))</x:f>
      </x:c>
      <x:c r="U155" s="22"/>
      <x:c r="V155" s="22"/>
      <x:c r="W155" s="22"/>
      <x:c r="X155" s="22"/>
      <x:c r="Y155" s="22"/>
    </x:row>
    <x:row r="156">
      <x:c r="A156" s="22" t="str">
        <x:f>IF(B156="","","OPP-"&amp;TEXT(ROW()-2,"0000"))</x:f>
      </x:c>
      <x:c r="B156" s="22"/>
      <x:c r="C156" s="22"/>
      <x:c r="D156" s="22"/>
      <x:c r="E156" s="22"/>
      <x:c r="F156" s="22"/>
      <x:c r="G156" s="22"/>
      <x:c r="H156" s="26"/>
      <x:c r="I156" s="22"/>
      <x:c r="J156" s="22"/>
      <x:c r="K156" s="22"/>
      <x:c r="L156" s="22"/>
      <x:c r="M156" s="22"/>
      <x:c r="N156" s="22"/>
      <x:c r="O156" s="22"/>
      <x:c r="P156" s="22"/>
      <x:c r="Q156" s="22"/>
      <x:c r="R156" s="22"/>
      <x:c r="S156" s="22" t="str">
        <x:f>IF(B156="","",SUM(K156:R156))</x:f>
      </x:c>
      <x:c r="T156" s="22" t="str">
        <x:f>IF(B156="","",IF(S156&gt;=13,"A",IF(S156&gt;=9,"B","C")))</x:f>
      </x:c>
      <x:c r="U156" s="22"/>
      <x:c r="V156" s="22"/>
      <x:c r="W156" s="22"/>
      <x:c r="X156" s="22"/>
      <x:c r="Y156" s="22"/>
    </x:row>
    <x:row r="157">
      <x:c r="A157" s="22" t="str">
        <x:f>IF(B157="","","OPP-"&amp;TEXT(ROW()-2,"0000"))</x:f>
      </x:c>
      <x:c r="B157" s="22"/>
      <x:c r="C157" s="22"/>
      <x:c r="D157" s="22"/>
      <x:c r="E157" s="22"/>
      <x:c r="F157" s="22"/>
      <x:c r="G157" s="22"/>
      <x:c r="H157" s="26"/>
      <x:c r="I157" s="22"/>
      <x:c r="J157" s="22"/>
      <x:c r="K157" s="22"/>
      <x:c r="L157" s="22"/>
      <x:c r="M157" s="22"/>
      <x:c r="N157" s="22"/>
      <x:c r="O157" s="22"/>
      <x:c r="P157" s="22"/>
      <x:c r="Q157" s="22"/>
      <x:c r="R157" s="22"/>
      <x:c r="S157" s="22" t="str">
        <x:f>IF(B157="","",SUM(K157:R157))</x:f>
      </x:c>
      <x:c r="T157" s="22" t="str">
        <x:f>IF(B157="","",IF(S157&gt;=13,"A",IF(S157&gt;=9,"B","C")))</x:f>
      </x:c>
      <x:c r="U157" s="22"/>
      <x:c r="V157" s="22"/>
      <x:c r="W157" s="22"/>
      <x:c r="X157" s="22"/>
      <x:c r="Y157" s="22"/>
    </x:row>
    <x:row r="158">
      <x:c r="A158" s="22" t="str">
        <x:f>IF(B158="","","OPP-"&amp;TEXT(ROW()-2,"0000"))</x:f>
      </x:c>
      <x:c r="B158" s="22"/>
      <x:c r="C158" s="22"/>
      <x:c r="D158" s="22"/>
      <x:c r="E158" s="22"/>
      <x:c r="F158" s="22"/>
      <x:c r="G158" s="22"/>
      <x:c r="H158" s="26"/>
      <x:c r="I158" s="22"/>
      <x:c r="J158" s="22"/>
      <x:c r="K158" s="22"/>
      <x:c r="L158" s="22"/>
      <x:c r="M158" s="22"/>
      <x:c r="N158" s="22"/>
      <x:c r="O158" s="22"/>
      <x:c r="P158" s="22"/>
      <x:c r="Q158" s="22"/>
      <x:c r="R158" s="22"/>
      <x:c r="S158" s="22" t="str">
        <x:f>IF(B158="","",SUM(K158:R158))</x:f>
      </x:c>
      <x:c r="T158" s="22" t="str">
        <x:f>IF(B158="","",IF(S158&gt;=13,"A",IF(S158&gt;=9,"B","C")))</x:f>
      </x:c>
      <x:c r="U158" s="22"/>
      <x:c r="V158" s="22"/>
      <x:c r="W158" s="22"/>
      <x:c r="X158" s="22"/>
      <x:c r="Y158" s="22"/>
    </x:row>
    <x:row r="159">
      <x:c r="A159" s="22" t="str">
        <x:f>IF(B159="","","OPP-"&amp;TEXT(ROW()-2,"0000"))</x:f>
      </x:c>
      <x:c r="B159" s="22"/>
      <x:c r="C159" s="22"/>
      <x:c r="D159" s="22"/>
      <x:c r="E159" s="22"/>
      <x:c r="F159" s="22"/>
      <x:c r="G159" s="22"/>
      <x:c r="H159" s="26"/>
      <x:c r="I159" s="22"/>
      <x:c r="J159" s="22"/>
      <x:c r="K159" s="22"/>
      <x:c r="L159" s="22"/>
      <x:c r="M159" s="22"/>
      <x:c r="N159" s="22"/>
      <x:c r="O159" s="22"/>
      <x:c r="P159" s="22"/>
      <x:c r="Q159" s="22"/>
      <x:c r="R159" s="22"/>
      <x:c r="S159" s="22" t="str">
        <x:f>IF(B159="","",SUM(K159:R159))</x:f>
      </x:c>
      <x:c r="T159" s="22" t="str">
        <x:f>IF(B159="","",IF(S159&gt;=13,"A",IF(S159&gt;=9,"B","C")))</x:f>
      </x:c>
      <x:c r="U159" s="22"/>
      <x:c r="V159" s="22"/>
      <x:c r="W159" s="22"/>
      <x:c r="X159" s="22"/>
      <x:c r="Y159" s="22"/>
    </x:row>
    <x:row r="160">
      <x:c r="A160" s="22" t="str">
        <x:f>IF(B160="","","OPP-"&amp;TEXT(ROW()-2,"0000"))</x:f>
      </x:c>
      <x:c r="B160" s="22"/>
      <x:c r="C160" s="22"/>
      <x:c r="D160" s="22"/>
      <x:c r="E160" s="22"/>
      <x:c r="F160" s="22"/>
      <x:c r="G160" s="22"/>
      <x:c r="H160" s="26"/>
      <x:c r="I160" s="22"/>
      <x:c r="J160" s="22"/>
      <x:c r="K160" s="22"/>
      <x:c r="L160" s="22"/>
      <x:c r="M160" s="22"/>
      <x:c r="N160" s="22"/>
      <x:c r="O160" s="22"/>
      <x:c r="P160" s="22"/>
      <x:c r="Q160" s="22"/>
      <x:c r="R160" s="22"/>
      <x:c r="S160" s="22" t="str">
        <x:f>IF(B160="","",SUM(K160:R160))</x:f>
      </x:c>
      <x:c r="T160" s="22" t="str">
        <x:f>IF(B160="","",IF(S160&gt;=13,"A",IF(S160&gt;=9,"B","C")))</x:f>
      </x:c>
      <x:c r="U160" s="22"/>
      <x:c r="V160" s="22"/>
      <x:c r="W160" s="22"/>
      <x:c r="X160" s="22"/>
      <x:c r="Y160" s="22"/>
    </x:row>
    <x:row r="161">
      <x:c r="A161" s="22" t="str">
        <x:f>IF(B161="","","OPP-"&amp;TEXT(ROW()-2,"0000"))</x:f>
      </x:c>
      <x:c r="B161" s="22"/>
      <x:c r="C161" s="22"/>
      <x:c r="D161" s="22"/>
      <x:c r="E161" s="22"/>
      <x:c r="F161" s="22"/>
      <x:c r="G161" s="22"/>
      <x:c r="H161" s="26"/>
      <x:c r="I161" s="22"/>
      <x:c r="J161" s="22"/>
      <x:c r="K161" s="22"/>
      <x:c r="L161" s="22"/>
      <x:c r="M161" s="22"/>
      <x:c r="N161" s="22"/>
      <x:c r="O161" s="22"/>
      <x:c r="P161" s="22"/>
      <x:c r="Q161" s="22"/>
      <x:c r="R161" s="22"/>
      <x:c r="S161" s="22" t="str">
        <x:f>IF(B161="","",SUM(K161:R161))</x:f>
      </x:c>
      <x:c r="T161" s="22" t="str">
        <x:f>IF(B161="","",IF(S161&gt;=13,"A",IF(S161&gt;=9,"B","C")))</x:f>
      </x:c>
      <x:c r="U161" s="22"/>
      <x:c r="V161" s="22"/>
      <x:c r="W161" s="22"/>
      <x:c r="X161" s="22"/>
      <x:c r="Y161" s="22"/>
    </x:row>
    <x:row r="162">
      <x:c r="A162" s="22" t="str">
        <x:f>IF(B162="","","OPP-"&amp;TEXT(ROW()-2,"0000"))</x:f>
      </x:c>
      <x:c r="B162" s="22"/>
      <x:c r="C162" s="22"/>
      <x:c r="D162" s="22"/>
      <x:c r="E162" s="22"/>
      <x:c r="F162" s="22"/>
      <x:c r="G162" s="22"/>
      <x:c r="H162" s="26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22"/>
      <x:c r="S162" s="22" t="str">
        <x:f>IF(B162="","",SUM(K162:R162))</x:f>
      </x:c>
      <x:c r="T162" s="22" t="str">
        <x:f>IF(B162="","",IF(S162&gt;=13,"A",IF(S162&gt;=9,"B","C")))</x:f>
      </x:c>
      <x:c r="U162" s="22"/>
      <x:c r="V162" s="22"/>
      <x:c r="W162" s="22"/>
      <x:c r="X162" s="22"/>
      <x:c r="Y162" s="22"/>
    </x:row>
    <x:row r="163">
      <x:c r="A163" s="22" t="str">
        <x:f>IF(B163="","","OPP-"&amp;TEXT(ROW()-2,"0000"))</x:f>
      </x:c>
      <x:c r="B163" s="22"/>
      <x:c r="C163" s="22"/>
      <x:c r="D163" s="22"/>
      <x:c r="E163" s="22"/>
      <x:c r="F163" s="22"/>
      <x:c r="G163" s="22"/>
      <x:c r="H163" s="26"/>
      <x:c r="I163" s="22"/>
      <x:c r="J163" s="22"/>
      <x:c r="K163" s="22"/>
      <x:c r="L163" s="22"/>
      <x:c r="M163" s="22"/>
      <x:c r="N163" s="22"/>
      <x:c r="O163" s="22"/>
      <x:c r="P163" s="22"/>
      <x:c r="Q163" s="22"/>
      <x:c r="R163" s="22"/>
      <x:c r="S163" s="22" t="str">
        <x:f>IF(B163="","",SUM(K163:R163))</x:f>
      </x:c>
      <x:c r="T163" s="22" t="str">
        <x:f>IF(B163="","",IF(S163&gt;=13,"A",IF(S163&gt;=9,"B","C")))</x:f>
      </x:c>
      <x:c r="U163" s="22"/>
      <x:c r="V163" s="22"/>
      <x:c r="W163" s="22"/>
      <x:c r="X163" s="22"/>
      <x:c r="Y163" s="22"/>
    </x:row>
    <x:row r="164">
      <x:c r="A164" s="22" t="str">
        <x:f>IF(B164="","","OPP-"&amp;TEXT(ROW()-2,"0000"))</x:f>
      </x:c>
      <x:c r="B164" s="22"/>
      <x:c r="C164" s="22"/>
      <x:c r="D164" s="22"/>
      <x:c r="E164" s="22"/>
      <x:c r="F164" s="22"/>
      <x:c r="G164" s="22"/>
      <x:c r="H164" s="26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22"/>
      <x:c r="S164" s="22" t="str">
        <x:f>IF(B164="","",SUM(K164:R164))</x:f>
      </x:c>
      <x:c r="T164" s="22" t="str">
        <x:f>IF(B164="","",IF(S164&gt;=13,"A",IF(S164&gt;=9,"B","C")))</x:f>
      </x:c>
      <x:c r="U164" s="22"/>
      <x:c r="V164" s="22"/>
      <x:c r="W164" s="22"/>
      <x:c r="X164" s="22"/>
      <x:c r="Y164" s="22"/>
    </x:row>
    <x:row r="165">
      <x:c r="A165" s="22" t="str">
        <x:f>IF(B165="","","OPP-"&amp;TEXT(ROW()-2,"0000"))</x:f>
      </x:c>
      <x:c r="B165" s="22"/>
      <x:c r="C165" s="22"/>
      <x:c r="D165" s="22"/>
      <x:c r="E165" s="22"/>
      <x:c r="F165" s="22"/>
      <x:c r="G165" s="22"/>
      <x:c r="H165" s="26"/>
      <x:c r="I165" s="22"/>
      <x:c r="J165" s="22"/>
      <x:c r="K165" s="22"/>
      <x:c r="L165" s="22"/>
      <x:c r="M165" s="22"/>
      <x:c r="N165" s="22"/>
      <x:c r="O165" s="22"/>
      <x:c r="P165" s="22"/>
      <x:c r="Q165" s="22"/>
      <x:c r="R165" s="22"/>
      <x:c r="S165" s="22" t="str">
        <x:f>IF(B165="","",SUM(K165:R165))</x:f>
      </x:c>
      <x:c r="T165" s="22" t="str">
        <x:f>IF(B165="","",IF(S165&gt;=13,"A",IF(S165&gt;=9,"B","C")))</x:f>
      </x:c>
      <x:c r="U165" s="22"/>
      <x:c r="V165" s="22"/>
      <x:c r="W165" s="22"/>
      <x:c r="X165" s="22"/>
      <x:c r="Y165" s="22"/>
    </x:row>
    <x:row r="166">
      <x:c r="A166" s="22" t="str">
        <x:f>IF(B166="","","OPP-"&amp;TEXT(ROW()-2,"0000"))</x:f>
      </x:c>
      <x:c r="B166" s="22"/>
      <x:c r="C166" s="22"/>
      <x:c r="D166" s="22"/>
      <x:c r="E166" s="22"/>
      <x:c r="F166" s="22"/>
      <x:c r="G166" s="22"/>
      <x:c r="H166" s="26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22"/>
      <x:c r="S166" s="22" t="str">
        <x:f>IF(B166="","",SUM(K166:R166))</x:f>
      </x:c>
      <x:c r="T166" s="22" t="str">
        <x:f>IF(B166="","",IF(S166&gt;=13,"A",IF(S166&gt;=9,"B","C")))</x:f>
      </x:c>
      <x:c r="U166" s="22"/>
      <x:c r="V166" s="22"/>
      <x:c r="W166" s="22"/>
      <x:c r="X166" s="22"/>
      <x:c r="Y166" s="22"/>
    </x:row>
    <x:row r="167">
      <x:c r="A167" s="22" t="str">
        <x:f>IF(B167="","","OPP-"&amp;TEXT(ROW()-2,"0000"))</x:f>
      </x:c>
      <x:c r="B167" s="22"/>
      <x:c r="C167" s="22"/>
      <x:c r="D167" s="22"/>
      <x:c r="E167" s="22"/>
      <x:c r="F167" s="22"/>
      <x:c r="G167" s="22"/>
      <x:c r="H167" s="26"/>
      <x:c r="I167" s="22"/>
      <x:c r="J167" s="22"/>
      <x:c r="K167" s="22"/>
      <x:c r="L167" s="22"/>
      <x:c r="M167" s="22"/>
      <x:c r="N167" s="22"/>
      <x:c r="O167" s="22"/>
      <x:c r="P167" s="22"/>
      <x:c r="Q167" s="22"/>
      <x:c r="R167" s="22"/>
      <x:c r="S167" s="22" t="str">
        <x:f>IF(B167="","",SUM(K167:R167))</x:f>
      </x:c>
      <x:c r="T167" s="22" t="str">
        <x:f>IF(B167="","",IF(S167&gt;=13,"A",IF(S167&gt;=9,"B","C")))</x:f>
      </x:c>
      <x:c r="U167" s="22"/>
      <x:c r="V167" s="22"/>
      <x:c r="W167" s="22"/>
      <x:c r="X167" s="22"/>
      <x:c r="Y167" s="22"/>
    </x:row>
    <x:row r="168">
      <x:c r="A168" s="22" t="str">
        <x:f>IF(B168="","","OPP-"&amp;TEXT(ROW()-2,"0000"))</x:f>
      </x:c>
      <x:c r="B168" s="22"/>
      <x:c r="C168" s="22"/>
      <x:c r="D168" s="22"/>
      <x:c r="E168" s="22"/>
      <x:c r="F168" s="22"/>
      <x:c r="G168" s="22"/>
      <x:c r="H168" s="26"/>
      <x:c r="I168" s="22"/>
      <x:c r="J168" s="22"/>
      <x:c r="K168" s="22"/>
      <x:c r="L168" s="22"/>
      <x:c r="M168" s="22"/>
      <x:c r="N168" s="22"/>
      <x:c r="O168" s="22"/>
      <x:c r="P168" s="22"/>
      <x:c r="Q168" s="22"/>
      <x:c r="R168" s="22"/>
      <x:c r="S168" s="22" t="str">
        <x:f>IF(B168="","",SUM(K168:R168))</x:f>
      </x:c>
      <x:c r="T168" s="22" t="str">
        <x:f>IF(B168="","",IF(S168&gt;=13,"A",IF(S168&gt;=9,"B","C")))</x:f>
      </x:c>
      <x:c r="U168" s="22"/>
      <x:c r="V168" s="22"/>
      <x:c r="W168" s="22"/>
      <x:c r="X168" s="22"/>
      <x:c r="Y168" s="22"/>
    </x:row>
    <x:row r="169">
      <x:c r="A169" s="22" t="str">
        <x:f>IF(B169="","","OPP-"&amp;TEXT(ROW()-2,"0000"))</x:f>
      </x:c>
      <x:c r="B169" s="22"/>
      <x:c r="C169" s="22"/>
      <x:c r="D169" s="22"/>
      <x:c r="E169" s="22"/>
      <x:c r="F169" s="22"/>
      <x:c r="G169" s="22"/>
      <x:c r="H169" s="26"/>
      <x:c r="I169" s="22"/>
      <x:c r="J169" s="22"/>
      <x:c r="K169" s="22"/>
      <x:c r="L169" s="22"/>
      <x:c r="M169" s="22"/>
      <x:c r="N169" s="22"/>
      <x:c r="O169" s="22"/>
      <x:c r="P169" s="22"/>
      <x:c r="Q169" s="22"/>
      <x:c r="R169" s="22"/>
      <x:c r="S169" s="22" t="str">
        <x:f>IF(B169="","",SUM(K169:R169))</x:f>
      </x:c>
      <x:c r="T169" s="22" t="str">
        <x:f>IF(B169="","",IF(S169&gt;=13,"A",IF(S169&gt;=9,"B","C")))</x:f>
      </x:c>
      <x:c r="U169" s="22"/>
      <x:c r="V169" s="22"/>
      <x:c r="W169" s="22"/>
      <x:c r="X169" s="22"/>
      <x:c r="Y169" s="22"/>
    </x:row>
    <x:row r="170">
      <x:c r="A170" s="22" t="str">
        <x:f>IF(B170="","","OPP-"&amp;TEXT(ROW()-2,"0000"))</x:f>
      </x:c>
      <x:c r="B170" s="22"/>
      <x:c r="C170" s="22"/>
      <x:c r="D170" s="22"/>
      <x:c r="E170" s="22"/>
      <x:c r="F170" s="22"/>
      <x:c r="G170" s="22"/>
      <x:c r="H170" s="26"/>
      <x:c r="I170" s="22"/>
      <x:c r="J170" s="22"/>
      <x:c r="K170" s="22"/>
      <x:c r="L170" s="22"/>
      <x:c r="M170" s="22"/>
      <x:c r="N170" s="22"/>
      <x:c r="O170" s="22"/>
      <x:c r="P170" s="22"/>
      <x:c r="Q170" s="22"/>
      <x:c r="R170" s="22"/>
      <x:c r="S170" s="22" t="str">
        <x:f>IF(B170="","",SUM(K170:R170))</x:f>
      </x:c>
      <x:c r="T170" s="22" t="str">
        <x:f>IF(B170="","",IF(S170&gt;=13,"A",IF(S170&gt;=9,"B","C")))</x:f>
      </x:c>
      <x:c r="U170" s="22"/>
      <x:c r="V170" s="22"/>
      <x:c r="W170" s="22"/>
      <x:c r="X170" s="22"/>
      <x:c r="Y170" s="22"/>
    </x:row>
    <x:row r="171">
      <x:c r="A171" s="22" t="str">
        <x:f>IF(B171="","","OPP-"&amp;TEXT(ROW()-2,"0000"))</x:f>
      </x:c>
      <x:c r="B171" s="22"/>
      <x:c r="C171" s="22"/>
      <x:c r="D171" s="22"/>
      <x:c r="E171" s="22"/>
      <x:c r="F171" s="22"/>
      <x:c r="G171" s="22"/>
      <x:c r="H171" s="26"/>
      <x:c r="I171" s="22"/>
      <x:c r="J171" s="22"/>
      <x:c r="K171" s="22"/>
      <x:c r="L171" s="22"/>
      <x:c r="M171" s="22"/>
      <x:c r="N171" s="22"/>
      <x:c r="O171" s="22"/>
      <x:c r="P171" s="22"/>
      <x:c r="Q171" s="22"/>
      <x:c r="R171" s="22"/>
      <x:c r="S171" s="22" t="str">
        <x:f>IF(B171="","",SUM(K171:R171))</x:f>
      </x:c>
      <x:c r="T171" s="22" t="str">
        <x:f>IF(B171="","",IF(S171&gt;=13,"A",IF(S171&gt;=9,"B","C")))</x:f>
      </x:c>
      <x:c r="U171" s="22"/>
      <x:c r="V171" s="22"/>
      <x:c r="W171" s="22"/>
      <x:c r="X171" s="22"/>
      <x:c r="Y171" s="22"/>
    </x:row>
    <x:row r="172">
      <x:c r="A172" s="22" t="str">
        <x:f>IF(B172="","","OPP-"&amp;TEXT(ROW()-2,"0000"))</x:f>
      </x:c>
      <x:c r="B172" s="22"/>
      <x:c r="C172" s="22"/>
      <x:c r="D172" s="22"/>
      <x:c r="E172" s="22"/>
      <x:c r="F172" s="22"/>
      <x:c r="G172" s="22"/>
      <x:c r="H172" s="26"/>
      <x:c r="I172" s="22"/>
      <x:c r="J172" s="22"/>
      <x:c r="K172" s="22"/>
      <x:c r="L172" s="22"/>
      <x:c r="M172" s="22"/>
      <x:c r="N172" s="22"/>
      <x:c r="O172" s="22"/>
      <x:c r="P172" s="22"/>
      <x:c r="Q172" s="22"/>
      <x:c r="R172" s="22"/>
      <x:c r="S172" s="22" t="str">
        <x:f>IF(B172="","",SUM(K172:R172))</x:f>
      </x:c>
      <x:c r="T172" s="22" t="str">
        <x:f>IF(B172="","",IF(S172&gt;=13,"A",IF(S172&gt;=9,"B","C")))</x:f>
      </x:c>
      <x:c r="U172" s="22"/>
      <x:c r="V172" s="22"/>
      <x:c r="W172" s="22"/>
      <x:c r="X172" s="22"/>
      <x:c r="Y172" s="22"/>
    </x:row>
    <x:row r="173">
      <x:c r="A173" s="22" t="str">
        <x:f>IF(B173="","","OPP-"&amp;TEXT(ROW()-2,"0000"))</x:f>
      </x:c>
      <x:c r="B173" s="22"/>
      <x:c r="C173" s="22"/>
      <x:c r="D173" s="22"/>
      <x:c r="E173" s="22"/>
      <x:c r="F173" s="22"/>
      <x:c r="G173" s="22"/>
      <x:c r="H173" s="26"/>
      <x:c r="I173" s="22"/>
      <x:c r="J173" s="22"/>
      <x:c r="K173" s="22"/>
      <x:c r="L173" s="22"/>
      <x:c r="M173" s="22"/>
      <x:c r="N173" s="22"/>
      <x:c r="O173" s="22"/>
      <x:c r="P173" s="22"/>
      <x:c r="Q173" s="22"/>
      <x:c r="R173" s="22"/>
      <x:c r="S173" s="22" t="str">
        <x:f>IF(B173="","",SUM(K173:R173))</x:f>
      </x:c>
      <x:c r="T173" s="22" t="str">
        <x:f>IF(B173="","",IF(S173&gt;=13,"A",IF(S173&gt;=9,"B","C")))</x:f>
      </x:c>
      <x:c r="U173" s="22"/>
      <x:c r="V173" s="22"/>
      <x:c r="W173" s="22"/>
      <x:c r="X173" s="22"/>
      <x:c r="Y173" s="22"/>
    </x:row>
    <x:row r="174">
      <x:c r="A174" s="22" t="str">
        <x:f>IF(B174="","","OPP-"&amp;TEXT(ROW()-2,"0000"))</x:f>
      </x:c>
      <x:c r="B174" s="22"/>
      <x:c r="C174" s="22"/>
      <x:c r="D174" s="22"/>
      <x:c r="E174" s="22"/>
      <x:c r="F174" s="22"/>
      <x:c r="G174" s="22"/>
      <x:c r="H174" s="26"/>
      <x:c r="I174" s="22"/>
      <x:c r="J174" s="22"/>
      <x:c r="K174" s="22"/>
      <x:c r="L174" s="22"/>
      <x:c r="M174" s="22"/>
      <x:c r="N174" s="22"/>
      <x:c r="O174" s="22"/>
      <x:c r="P174" s="22"/>
      <x:c r="Q174" s="22"/>
      <x:c r="R174" s="22"/>
      <x:c r="S174" s="22" t="str">
        <x:f>IF(B174="","",SUM(K174:R174))</x:f>
      </x:c>
      <x:c r="T174" s="22" t="str">
        <x:f>IF(B174="","",IF(S174&gt;=13,"A",IF(S174&gt;=9,"B","C")))</x:f>
      </x:c>
      <x:c r="U174" s="22"/>
      <x:c r="V174" s="22"/>
      <x:c r="W174" s="22"/>
      <x:c r="X174" s="22"/>
      <x:c r="Y174" s="22"/>
    </x:row>
    <x:row r="175">
      <x:c r="A175" s="22" t="str">
        <x:f>IF(B175="","","OPP-"&amp;TEXT(ROW()-2,"0000"))</x:f>
      </x:c>
      <x:c r="B175" s="22"/>
      <x:c r="C175" s="22"/>
      <x:c r="D175" s="22"/>
      <x:c r="E175" s="22"/>
      <x:c r="F175" s="22"/>
      <x:c r="G175" s="22"/>
      <x:c r="H175" s="26"/>
      <x:c r="I175" s="22"/>
      <x:c r="J175" s="22"/>
      <x:c r="K175" s="22"/>
      <x:c r="L175" s="22"/>
      <x:c r="M175" s="22"/>
      <x:c r="N175" s="22"/>
      <x:c r="O175" s="22"/>
      <x:c r="P175" s="22"/>
      <x:c r="Q175" s="22"/>
      <x:c r="R175" s="22"/>
      <x:c r="S175" s="22" t="str">
        <x:f>IF(B175="","",SUM(K175:R175))</x:f>
      </x:c>
      <x:c r="T175" s="22" t="str">
        <x:f>IF(B175="","",IF(S175&gt;=13,"A",IF(S175&gt;=9,"B","C")))</x:f>
      </x:c>
      <x:c r="U175" s="22"/>
      <x:c r="V175" s="22"/>
      <x:c r="W175" s="22"/>
      <x:c r="X175" s="22"/>
      <x:c r="Y175" s="22"/>
    </x:row>
    <x:row r="176">
      <x:c r="A176" s="22" t="str">
        <x:f>IF(B176="","","OPP-"&amp;TEXT(ROW()-2,"0000"))</x:f>
      </x:c>
      <x:c r="B176" s="22"/>
      <x:c r="C176" s="22"/>
      <x:c r="D176" s="22"/>
      <x:c r="E176" s="22"/>
      <x:c r="F176" s="22"/>
      <x:c r="G176" s="22"/>
      <x:c r="H176" s="26"/>
      <x:c r="I176" s="22"/>
      <x:c r="J176" s="22"/>
      <x:c r="K176" s="22"/>
      <x:c r="L176" s="22"/>
      <x:c r="M176" s="22"/>
      <x:c r="N176" s="22"/>
      <x:c r="O176" s="22"/>
      <x:c r="P176" s="22"/>
      <x:c r="Q176" s="22"/>
      <x:c r="R176" s="22"/>
      <x:c r="S176" s="22" t="str">
        <x:f>IF(B176="","",SUM(K176:R176))</x:f>
      </x:c>
      <x:c r="T176" s="22" t="str">
        <x:f>IF(B176="","",IF(S176&gt;=13,"A",IF(S176&gt;=9,"B","C")))</x:f>
      </x:c>
      <x:c r="U176" s="22"/>
      <x:c r="V176" s="22"/>
      <x:c r="W176" s="22"/>
      <x:c r="X176" s="22"/>
      <x:c r="Y176" s="22"/>
    </x:row>
    <x:row r="177">
      <x:c r="A177" s="22" t="str">
        <x:f>IF(B177="","","OPP-"&amp;TEXT(ROW()-2,"0000"))</x:f>
      </x:c>
      <x:c r="B177" s="22"/>
      <x:c r="C177" s="22"/>
      <x:c r="D177" s="22"/>
      <x:c r="E177" s="22"/>
      <x:c r="F177" s="22"/>
      <x:c r="G177" s="22"/>
      <x:c r="H177" s="26"/>
      <x:c r="I177" s="22"/>
      <x:c r="J177" s="22"/>
      <x:c r="K177" s="22"/>
      <x:c r="L177" s="22"/>
      <x:c r="M177" s="22"/>
      <x:c r="N177" s="22"/>
      <x:c r="O177" s="22"/>
      <x:c r="P177" s="22"/>
      <x:c r="Q177" s="22"/>
      <x:c r="R177" s="22"/>
      <x:c r="S177" s="22" t="str">
        <x:f>IF(B177="","",SUM(K177:R177))</x:f>
      </x:c>
      <x:c r="T177" s="22" t="str">
        <x:f>IF(B177="","",IF(S177&gt;=13,"A",IF(S177&gt;=9,"B","C")))</x:f>
      </x:c>
      <x:c r="U177" s="22"/>
      <x:c r="V177" s="22"/>
      <x:c r="W177" s="22"/>
      <x:c r="X177" s="22"/>
      <x:c r="Y177" s="22"/>
    </x:row>
    <x:row r="178">
      <x:c r="A178" s="22" t="str">
        <x:f>IF(B178="","","OPP-"&amp;TEXT(ROW()-2,"0000"))</x:f>
      </x:c>
      <x:c r="B178" s="22"/>
      <x:c r="C178" s="22"/>
      <x:c r="D178" s="22"/>
      <x:c r="E178" s="22"/>
      <x:c r="F178" s="22"/>
      <x:c r="G178" s="22"/>
      <x:c r="H178" s="26"/>
      <x:c r="I178" s="22"/>
      <x:c r="J178" s="22"/>
      <x:c r="K178" s="22"/>
      <x:c r="L178" s="22"/>
      <x:c r="M178" s="22"/>
      <x:c r="N178" s="22"/>
      <x:c r="O178" s="22"/>
      <x:c r="P178" s="22"/>
      <x:c r="Q178" s="22"/>
      <x:c r="R178" s="22"/>
      <x:c r="S178" s="22" t="str">
        <x:f>IF(B178="","",SUM(K178:R178))</x:f>
      </x:c>
      <x:c r="T178" s="22" t="str">
        <x:f>IF(B178="","",IF(S178&gt;=13,"A",IF(S178&gt;=9,"B","C")))</x:f>
      </x:c>
      <x:c r="U178" s="22"/>
      <x:c r="V178" s="22"/>
      <x:c r="W178" s="22"/>
      <x:c r="X178" s="22"/>
      <x:c r="Y178" s="22"/>
    </x:row>
    <x:row r="179">
      <x:c r="A179" s="22" t="str">
        <x:f>IF(B179="","","OPP-"&amp;TEXT(ROW()-2,"0000"))</x:f>
      </x:c>
      <x:c r="B179" s="22"/>
      <x:c r="C179" s="22"/>
      <x:c r="D179" s="22"/>
      <x:c r="E179" s="22"/>
      <x:c r="F179" s="22"/>
      <x:c r="G179" s="22"/>
      <x:c r="H179" s="26"/>
      <x:c r="I179" s="22"/>
      <x:c r="J179" s="22"/>
      <x:c r="K179" s="22"/>
      <x:c r="L179" s="22"/>
      <x:c r="M179" s="22"/>
      <x:c r="N179" s="22"/>
      <x:c r="O179" s="22"/>
      <x:c r="P179" s="22"/>
      <x:c r="Q179" s="22"/>
      <x:c r="R179" s="22"/>
      <x:c r="S179" s="22" t="str">
        <x:f>IF(B179="","",SUM(K179:R179))</x:f>
      </x:c>
      <x:c r="T179" s="22" t="str">
        <x:f>IF(B179="","",IF(S179&gt;=13,"A",IF(S179&gt;=9,"B","C")))</x:f>
      </x:c>
      <x:c r="U179" s="22"/>
      <x:c r="V179" s="22"/>
      <x:c r="W179" s="22"/>
      <x:c r="X179" s="22"/>
      <x:c r="Y179" s="22"/>
    </x:row>
    <x:row r="180">
      <x:c r="A180" s="22" t="str">
        <x:f>IF(B180="","","OPP-"&amp;TEXT(ROW()-2,"0000"))</x:f>
      </x:c>
      <x:c r="B180" s="22"/>
      <x:c r="C180" s="22"/>
      <x:c r="D180" s="22"/>
      <x:c r="E180" s="22"/>
      <x:c r="F180" s="22"/>
      <x:c r="G180" s="22"/>
      <x:c r="H180" s="26"/>
      <x:c r="I180" s="22"/>
      <x:c r="J180" s="22"/>
      <x:c r="K180" s="22"/>
      <x:c r="L180" s="22"/>
      <x:c r="M180" s="22"/>
      <x:c r="N180" s="22"/>
      <x:c r="O180" s="22"/>
      <x:c r="P180" s="22"/>
      <x:c r="Q180" s="22"/>
      <x:c r="R180" s="22"/>
      <x:c r="S180" s="22" t="str">
        <x:f>IF(B180="","",SUM(K180:R180))</x:f>
      </x:c>
      <x:c r="T180" s="22" t="str">
        <x:f>IF(B180="","",IF(S180&gt;=13,"A",IF(S180&gt;=9,"B","C")))</x:f>
      </x:c>
      <x:c r="U180" s="22"/>
      <x:c r="V180" s="22"/>
      <x:c r="W180" s="22"/>
      <x:c r="X180" s="22"/>
      <x:c r="Y180" s="22"/>
    </x:row>
    <x:row r="181">
      <x:c r="A181" s="22" t="str">
        <x:f>IF(B181="","","OPP-"&amp;TEXT(ROW()-2,"0000"))</x:f>
      </x:c>
      <x:c r="B181" s="22"/>
      <x:c r="C181" s="22"/>
      <x:c r="D181" s="22"/>
      <x:c r="E181" s="22"/>
      <x:c r="F181" s="22"/>
      <x:c r="G181" s="22"/>
      <x:c r="H181" s="26"/>
      <x:c r="I181" s="22"/>
      <x:c r="J181" s="22"/>
      <x:c r="K181" s="22"/>
      <x:c r="L181" s="22"/>
      <x:c r="M181" s="22"/>
      <x:c r="N181" s="22"/>
      <x:c r="O181" s="22"/>
      <x:c r="P181" s="22"/>
      <x:c r="Q181" s="22"/>
      <x:c r="R181" s="22"/>
      <x:c r="S181" s="22" t="str">
        <x:f>IF(B181="","",SUM(K181:R181))</x:f>
      </x:c>
      <x:c r="T181" s="22" t="str">
        <x:f>IF(B181="","",IF(S181&gt;=13,"A",IF(S181&gt;=9,"B","C")))</x:f>
      </x:c>
      <x:c r="U181" s="22"/>
      <x:c r="V181" s="22"/>
      <x:c r="W181" s="22"/>
      <x:c r="X181" s="22"/>
      <x:c r="Y181" s="22"/>
    </x:row>
    <x:row r="182">
      <x:c r="A182" s="22" t="str">
        <x:f>IF(B182="","","OPP-"&amp;TEXT(ROW()-2,"0000"))</x:f>
      </x:c>
      <x:c r="B182" s="22"/>
      <x:c r="C182" s="22"/>
      <x:c r="D182" s="22"/>
      <x:c r="E182" s="22"/>
      <x:c r="F182" s="22"/>
      <x:c r="G182" s="22"/>
      <x:c r="H182" s="26"/>
      <x:c r="I182" s="22"/>
      <x:c r="J182" s="22"/>
      <x:c r="K182" s="22"/>
      <x:c r="L182" s="22"/>
      <x:c r="M182" s="22"/>
      <x:c r="N182" s="22"/>
      <x:c r="O182" s="22"/>
      <x:c r="P182" s="22"/>
      <x:c r="Q182" s="22"/>
      <x:c r="R182" s="22"/>
      <x:c r="S182" s="22" t="str">
        <x:f>IF(B182="","",SUM(K182:R182))</x:f>
      </x:c>
      <x:c r="T182" s="22" t="str">
        <x:f>IF(B182="","",IF(S182&gt;=13,"A",IF(S182&gt;=9,"B","C")))</x:f>
      </x:c>
      <x:c r="U182" s="22"/>
      <x:c r="V182" s="22"/>
      <x:c r="W182" s="22"/>
      <x:c r="X182" s="22"/>
      <x:c r="Y182" s="22"/>
    </x:row>
    <x:row r="183">
      <x:c r="A183" s="22" t="str">
        <x:f>IF(B183="","","OPP-"&amp;TEXT(ROW()-2,"0000"))</x:f>
      </x:c>
      <x:c r="B183" s="22"/>
      <x:c r="C183" s="22"/>
      <x:c r="D183" s="22"/>
      <x:c r="E183" s="22"/>
      <x:c r="F183" s="22"/>
      <x:c r="G183" s="22"/>
      <x:c r="H183" s="26"/>
      <x:c r="I183" s="22"/>
      <x:c r="J183" s="22"/>
      <x:c r="K183" s="22"/>
      <x:c r="L183" s="22"/>
      <x:c r="M183" s="22"/>
      <x:c r="N183" s="22"/>
      <x:c r="O183" s="22"/>
      <x:c r="P183" s="22"/>
      <x:c r="Q183" s="22"/>
      <x:c r="R183" s="22"/>
      <x:c r="S183" s="22" t="str">
        <x:f>IF(B183="","",SUM(K183:R183))</x:f>
      </x:c>
      <x:c r="T183" s="22" t="str">
        <x:f>IF(B183="","",IF(S183&gt;=13,"A",IF(S183&gt;=9,"B","C")))</x:f>
      </x:c>
      <x:c r="U183" s="22"/>
      <x:c r="V183" s="22"/>
      <x:c r="W183" s="22"/>
      <x:c r="X183" s="22"/>
      <x:c r="Y183" s="22"/>
    </x:row>
    <x:row r="184">
      <x:c r="A184" s="22" t="str">
        <x:f>IF(B184="","","OPP-"&amp;TEXT(ROW()-2,"0000"))</x:f>
      </x:c>
      <x:c r="B184" s="22"/>
      <x:c r="C184" s="22"/>
      <x:c r="D184" s="22"/>
      <x:c r="E184" s="22"/>
      <x:c r="F184" s="22"/>
      <x:c r="G184" s="22"/>
      <x:c r="H184" s="26"/>
      <x:c r="I184" s="22"/>
      <x:c r="J184" s="22"/>
      <x:c r="K184" s="22"/>
      <x:c r="L184" s="22"/>
      <x:c r="M184" s="22"/>
      <x:c r="N184" s="22"/>
      <x:c r="O184" s="22"/>
      <x:c r="P184" s="22"/>
      <x:c r="Q184" s="22"/>
      <x:c r="R184" s="22"/>
      <x:c r="S184" s="22" t="str">
        <x:f>IF(B184="","",SUM(K184:R184))</x:f>
      </x:c>
      <x:c r="T184" s="22" t="str">
        <x:f>IF(B184="","",IF(S184&gt;=13,"A",IF(S184&gt;=9,"B","C")))</x:f>
      </x:c>
      <x:c r="U184" s="22"/>
      <x:c r="V184" s="22"/>
      <x:c r="W184" s="22"/>
      <x:c r="X184" s="22"/>
      <x:c r="Y184" s="22"/>
    </x:row>
    <x:row r="185">
      <x:c r="A185" s="22" t="str">
        <x:f>IF(B185="","","OPP-"&amp;TEXT(ROW()-2,"0000"))</x:f>
      </x:c>
      <x:c r="B185" s="22"/>
      <x:c r="C185" s="22"/>
      <x:c r="D185" s="22"/>
      <x:c r="E185" s="22"/>
      <x:c r="F185" s="22"/>
      <x:c r="G185" s="22"/>
      <x:c r="H185" s="26"/>
      <x:c r="I185" s="22"/>
      <x:c r="J185" s="22"/>
      <x:c r="K185" s="22"/>
      <x:c r="L185" s="22"/>
      <x:c r="M185" s="22"/>
      <x:c r="N185" s="22"/>
      <x:c r="O185" s="22"/>
      <x:c r="P185" s="22"/>
      <x:c r="Q185" s="22"/>
      <x:c r="R185" s="22"/>
      <x:c r="S185" s="22" t="str">
        <x:f>IF(B185="","",SUM(K185:R185))</x:f>
      </x:c>
      <x:c r="T185" s="22" t="str">
        <x:f>IF(B185="","",IF(S185&gt;=13,"A",IF(S185&gt;=9,"B","C")))</x:f>
      </x:c>
      <x:c r="U185" s="22"/>
      <x:c r="V185" s="22"/>
      <x:c r="W185" s="22"/>
      <x:c r="X185" s="22"/>
      <x:c r="Y185" s="22"/>
    </x:row>
    <x:row r="186">
      <x:c r="A186" s="22" t="str">
        <x:f>IF(B186="","","OPP-"&amp;TEXT(ROW()-2,"0000"))</x:f>
      </x:c>
      <x:c r="B186" s="22"/>
      <x:c r="C186" s="22"/>
      <x:c r="D186" s="22"/>
      <x:c r="E186" s="22"/>
      <x:c r="F186" s="22"/>
      <x:c r="G186" s="22"/>
      <x:c r="H186" s="26"/>
      <x:c r="I186" s="22"/>
      <x:c r="J186" s="22"/>
      <x:c r="K186" s="22"/>
      <x:c r="L186" s="22"/>
      <x:c r="M186" s="22"/>
      <x:c r="N186" s="22"/>
      <x:c r="O186" s="22"/>
      <x:c r="P186" s="22"/>
      <x:c r="Q186" s="22"/>
      <x:c r="R186" s="22"/>
      <x:c r="S186" s="22" t="str">
        <x:f>IF(B186="","",SUM(K186:R186))</x:f>
      </x:c>
      <x:c r="T186" s="22" t="str">
        <x:f>IF(B186="","",IF(S186&gt;=13,"A",IF(S186&gt;=9,"B","C")))</x:f>
      </x:c>
      <x:c r="U186" s="22"/>
      <x:c r="V186" s="22"/>
      <x:c r="W186" s="22"/>
      <x:c r="X186" s="22"/>
      <x:c r="Y186" s="22"/>
    </x:row>
    <x:row r="187">
      <x:c r="A187" s="22" t="str">
        <x:f>IF(B187="","","OPP-"&amp;TEXT(ROW()-2,"0000"))</x:f>
      </x:c>
      <x:c r="B187" s="22"/>
      <x:c r="C187" s="22"/>
      <x:c r="D187" s="22"/>
      <x:c r="E187" s="22"/>
      <x:c r="F187" s="22"/>
      <x:c r="G187" s="22"/>
      <x:c r="H187" s="26"/>
      <x:c r="I187" s="22"/>
      <x:c r="J187" s="22"/>
      <x:c r="K187" s="22"/>
      <x:c r="L187" s="22"/>
      <x:c r="M187" s="22"/>
      <x:c r="N187" s="22"/>
      <x:c r="O187" s="22"/>
      <x:c r="P187" s="22"/>
      <x:c r="Q187" s="22"/>
      <x:c r="R187" s="22"/>
      <x:c r="S187" s="22" t="str">
        <x:f>IF(B187="","",SUM(K187:R187))</x:f>
      </x:c>
      <x:c r="T187" s="22" t="str">
        <x:f>IF(B187="","",IF(S187&gt;=13,"A",IF(S187&gt;=9,"B","C")))</x:f>
      </x:c>
      <x:c r="U187" s="22"/>
      <x:c r="V187" s="22"/>
      <x:c r="W187" s="22"/>
      <x:c r="X187" s="22"/>
      <x:c r="Y187" s="22"/>
    </x:row>
    <x:row r="188">
      <x:c r="A188" s="22" t="str">
        <x:f>IF(B188="","","OPP-"&amp;TEXT(ROW()-2,"0000"))</x:f>
      </x:c>
      <x:c r="B188" s="22"/>
      <x:c r="C188" s="22"/>
      <x:c r="D188" s="22"/>
      <x:c r="E188" s="22"/>
      <x:c r="F188" s="22"/>
      <x:c r="G188" s="22"/>
      <x:c r="H188" s="26"/>
      <x:c r="I188" s="22"/>
      <x:c r="J188" s="22"/>
      <x:c r="K188" s="22"/>
      <x:c r="L188" s="22"/>
      <x:c r="M188" s="22"/>
      <x:c r="N188" s="22"/>
      <x:c r="O188" s="22"/>
      <x:c r="P188" s="22"/>
      <x:c r="Q188" s="22"/>
      <x:c r="R188" s="22"/>
      <x:c r="S188" s="22" t="str">
        <x:f>IF(B188="","",SUM(K188:R188))</x:f>
      </x:c>
      <x:c r="T188" s="22" t="str">
        <x:f>IF(B188="","",IF(S188&gt;=13,"A",IF(S188&gt;=9,"B","C")))</x:f>
      </x:c>
      <x:c r="U188" s="22"/>
      <x:c r="V188" s="22"/>
      <x:c r="W188" s="22"/>
      <x:c r="X188" s="22"/>
      <x:c r="Y188" s="22"/>
    </x:row>
    <x:row r="189">
      <x:c r="A189" s="22" t="str">
        <x:f>IF(B189="","","OPP-"&amp;TEXT(ROW()-2,"0000"))</x:f>
      </x:c>
      <x:c r="B189" s="22"/>
      <x:c r="C189" s="22"/>
      <x:c r="D189" s="22"/>
      <x:c r="E189" s="22"/>
      <x:c r="F189" s="22"/>
      <x:c r="G189" s="22"/>
      <x:c r="H189" s="26"/>
      <x:c r="I189" s="22"/>
      <x:c r="J189" s="22"/>
      <x:c r="K189" s="22"/>
      <x:c r="L189" s="22"/>
      <x:c r="M189" s="22"/>
      <x:c r="N189" s="22"/>
      <x:c r="O189" s="22"/>
      <x:c r="P189" s="22"/>
      <x:c r="Q189" s="22"/>
      <x:c r="R189" s="22"/>
      <x:c r="S189" s="22" t="str">
        <x:f>IF(B189="","",SUM(K189:R189))</x:f>
      </x:c>
      <x:c r="T189" s="22" t="str">
        <x:f>IF(B189="","",IF(S189&gt;=13,"A",IF(S189&gt;=9,"B","C")))</x:f>
      </x:c>
      <x:c r="U189" s="22"/>
      <x:c r="V189" s="22"/>
      <x:c r="W189" s="22"/>
      <x:c r="X189" s="22"/>
      <x:c r="Y189" s="22"/>
    </x:row>
    <x:row r="190">
      <x:c r="A190" s="22" t="str">
        <x:f>IF(B190="","","OPP-"&amp;TEXT(ROW()-2,"0000"))</x:f>
      </x:c>
      <x:c r="B190" s="22"/>
      <x:c r="C190" s="22"/>
      <x:c r="D190" s="22"/>
      <x:c r="E190" s="22"/>
      <x:c r="F190" s="22"/>
      <x:c r="G190" s="22"/>
      <x:c r="H190" s="26"/>
      <x:c r="I190" s="22"/>
      <x:c r="J190" s="22"/>
      <x:c r="K190" s="22"/>
      <x:c r="L190" s="22"/>
      <x:c r="M190" s="22"/>
      <x:c r="N190" s="22"/>
      <x:c r="O190" s="22"/>
      <x:c r="P190" s="22"/>
      <x:c r="Q190" s="22"/>
      <x:c r="R190" s="22"/>
      <x:c r="S190" s="22" t="str">
        <x:f>IF(B190="","",SUM(K190:R190))</x:f>
      </x:c>
      <x:c r="T190" s="22" t="str">
        <x:f>IF(B190="","",IF(S190&gt;=13,"A",IF(S190&gt;=9,"B","C")))</x:f>
      </x:c>
      <x:c r="U190" s="22"/>
      <x:c r="V190" s="22"/>
      <x:c r="W190" s="22"/>
      <x:c r="X190" s="22"/>
      <x:c r="Y190" s="22"/>
    </x:row>
    <x:row r="191">
      <x:c r="A191" s="22" t="str">
        <x:f>IF(B191="","","OPP-"&amp;TEXT(ROW()-2,"0000"))</x:f>
      </x:c>
      <x:c r="B191" s="22"/>
      <x:c r="C191" s="22"/>
      <x:c r="D191" s="22"/>
      <x:c r="E191" s="22"/>
      <x:c r="F191" s="22"/>
      <x:c r="G191" s="22"/>
      <x:c r="H191" s="26"/>
      <x:c r="I191" s="22"/>
      <x:c r="J191" s="22"/>
      <x:c r="K191" s="22"/>
      <x:c r="L191" s="22"/>
      <x:c r="M191" s="22"/>
      <x:c r="N191" s="22"/>
      <x:c r="O191" s="22"/>
      <x:c r="P191" s="22"/>
      <x:c r="Q191" s="22"/>
      <x:c r="R191" s="22"/>
      <x:c r="S191" s="22" t="str">
        <x:f>IF(B191="","",SUM(K191:R191))</x:f>
      </x:c>
      <x:c r="T191" s="22" t="str">
        <x:f>IF(B191="","",IF(S191&gt;=13,"A",IF(S191&gt;=9,"B","C")))</x:f>
      </x:c>
      <x:c r="U191" s="22"/>
      <x:c r="V191" s="22"/>
      <x:c r="W191" s="22"/>
      <x:c r="X191" s="22"/>
      <x:c r="Y191" s="22"/>
    </x:row>
    <x:row r="192">
      <x:c r="A192" s="22" t="str">
        <x:f>IF(B192="","","OPP-"&amp;TEXT(ROW()-2,"0000"))</x:f>
      </x:c>
      <x:c r="B192" s="22"/>
      <x:c r="C192" s="22"/>
      <x:c r="D192" s="22"/>
      <x:c r="E192" s="22"/>
      <x:c r="F192" s="22"/>
      <x:c r="G192" s="22"/>
      <x:c r="H192" s="26"/>
      <x:c r="I192" s="22"/>
      <x:c r="J192" s="22"/>
      <x:c r="K192" s="22"/>
      <x:c r="L192" s="22"/>
      <x:c r="M192" s="22"/>
      <x:c r="N192" s="22"/>
      <x:c r="O192" s="22"/>
      <x:c r="P192" s="22"/>
      <x:c r="Q192" s="22"/>
      <x:c r="R192" s="22"/>
      <x:c r="S192" s="22" t="str">
        <x:f>IF(B192="","",SUM(K192:R192))</x:f>
      </x:c>
      <x:c r="T192" s="22" t="str">
        <x:f>IF(B192="","",IF(S192&gt;=13,"A",IF(S192&gt;=9,"B","C")))</x:f>
      </x:c>
      <x:c r="U192" s="22"/>
      <x:c r="V192" s="22"/>
      <x:c r="W192" s="22"/>
      <x:c r="X192" s="22"/>
      <x:c r="Y192" s="22"/>
    </x:row>
    <x:row r="193">
      <x:c r="A193" s="22" t="str">
        <x:f>IF(B193="","","OPP-"&amp;TEXT(ROW()-2,"0000"))</x:f>
      </x:c>
      <x:c r="B193" s="22"/>
      <x:c r="C193" s="22"/>
      <x:c r="D193" s="22"/>
      <x:c r="E193" s="22"/>
      <x:c r="F193" s="22"/>
      <x:c r="G193" s="22"/>
      <x:c r="H193" s="26"/>
      <x:c r="I193" s="22"/>
      <x:c r="J193" s="22"/>
      <x:c r="K193" s="22"/>
      <x:c r="L193" s="22"/>
      <x:c r="M193" s="22"/>
      <x:c r="N193" s="22"/>
      <x:c r="O193" s="22"/>
      <x:c r="P193" s="22"/>
      <x:c r="Q193" s="22"/>
      <x:c r="R193" s="22"/>
      <x:c r="S193" s="22" t="str">
        <x:f>IF(B193="","",SUM(K193:R193))</x:f>
      </x:c>
      <x:c r="T193" s="22" t="str">
        <x:f>IF(B193="","",IF(S193&gt;=13,"A",IF(S193&gt;=9,"B","C")))</x:f>
      </x:c>
      <x:c r="U193" s="22"/>
      <x:c r="V193" s="22"/>
      <x:c r="W193" s="22"/>
      <x:c r="X193" s="22"/>
      <x:c r="Y193" s="22"/>
    </x:row>
    <x:row r="194">
      <x:c r="A194" s="22" t="str">
        <x:f>IF(B194="","","OPP-"&amp;TEXT(ROW()-2,"0000"))</x:f>
      </x:c>
      <x:c r="B194" s="22"/>
      <x:c r="C194" s="22"/>
      <x:c r="D194" s="22"/>
      <x:c r="E194" s="22"/>
      <x:c r="F194" s="22"/>
      <x:c r="G194" s="22"/>
      <x:c r="H194" s="26"/>
      <x:c r="I194" s="22"/>
      <x:c r="J194" s="22"/>
      <x:c r="K194" s="22"/>
      <x:c r="L194" s="22"/>
      <x:c r="M194" s="22"/>
      <x:c r="N194" s="22"/>
      <x:c r="O194" s="22"/>
      <x:c r="P194" s="22"/>
      <x:c r="Q194" s="22"/>
      <x:c r="R194" s="22"/>
      <x:c r="S194" s="22" t="str">
        <x:f>IF(B194="","",SUM(K194:R194))</x:f>
      </x:c>
      <x:c r="T194" s="22" t="str">
        <x:f>IF(B194="","",IF(S194&gt;=13,"A",IF(S194&gt;=9,"B","C")))</x:f>
      </x:c>
      <x:c r="U194" s="22"/>
      <x:c r="V194" s="22"/>
      <x:c r="W194" s="22"/>
      <x:c r="X194" s="22"/>
      <x:c r="Y194" s="22"/>
    </x:row>
    <x:row r="195">
      <x:c r="A195" s="22" t="str">
        <x:f>IF(B195="","","OPP-"&amp;TEXT(ROW()-2,"0000"))</x:f>
      </x:c>
      <x:c r="B195" s="22"/>
      <x:c r="C195" s="22"/>
      <x:c r="D195" s="22"/>
      <x:c r="E195" s="22"/>
      <x:c r="F195" s="22"/>
      <x:c r="G195" s="22"/>
      <x:c r="H195" s="26"/>
      <x:c r="I195" s="22"/>
      <x:c r="J195" s="22"/>
      <x:c r="K195" s="22"/>
      <x:c r="L195" s="22"/>
      <x:c r="M195" s="22"/>
      <x:c r="N195" s="22"/>
      <x:c r="O195" s="22"/>
      <x:c r="P195" s="22"/>
      <x:c r="Q195" s="22"/>
      <x:c r="R195" s="22"/>
      <x:c r="S195" s="22" t="str">
        <x:f>IF(B195="","",SUM(K195:R195))</x:f>
      </x:c>
      <x:c r="T195" s="22" t="str">
        <x:f>IF(B195="","",IF(S195&gt;=13,"A",IF(S195&gt;=9,"B","C")))</x:f>
      </x:c>
      <x:c r="U195" s="22"/>
      <x:c r="V195" s="22"/>
      <x:c r="W195" s="22"/>
      <x:c r="X195" s="22"/>
      <x:c r="Y195" s="22"/>
    </x:row>
    <x:row r="196">
      <x:c r="A196" s="22" t="str">
        <x:f>IF(B196="","","OPP-"&amp;TEXT(ROW()-2,"0000"))</x:f>
      </x:c>
      <x:c r="B196" s="22"/>
      <x:c r="C196" s="22"/>
      <x:c r="D196" s="22"/>
      <x:c r="E196" s="22"/>
      <x:c r="F196" s="22"/>
      <x:c r="G196" s="22"/>
      <x:c r="H196" s="26"/>
      <x:c r="I196" s="22"/>
      <x:c r="J196" s="22"/>
      <x:c r="K196" s="22"/>
      <x:c r="L196" s="22"/>
      <x:c r="M196" s="22"/>
      <x:c r="N196" s="22"/>
      <x:c r="O196" s="22"/>
      <x:c r="P196" s="22"/>
      <x:c r="Q196" s="22"/>
      <x:c r="R196" s="22"/>
      <x:c r="S196" s="22" t="str">
        <x:f>IF(B196="","",SUM(K196:R196))</x:f>
      </x:c>
      <x:c r="T196" s="22" t="str">
        <x:f>IF(B196="","",IF(S196&gt;=13,"A",IF(S196&gt;=9,"B","C")))</x:f>
      </x:c>
      <x:c r="U196" s="22"/>
      <x:c r="V196" s="22"/>
      <x:c r="W196" s="22"/>
      <x:c r="X196" s="22"/>
      <x:c r="Y196" s="22"/>
    </x:row>
    <x:row r="197">
      <x:c r="A197" s="22" t="str">
        <x:f>IF(B197="","","OPP-"&amp;TEXT(ROW()-2,"0000"))</x:f>
      </x:c>
      <x:c r="B197" s="22"/>
      <x:c r="C197" s="22"/>
      <x:c r="D197" s="22"/>
      <x:c r="E197" s="22"/>
      <x:c r="F197" s="22"/>
      <x:c r="G197" s="22"/>
      <x:c r="H197" s="26"/>
      <x:c r="I197" s="22"/>
      <x:c r="J197" s="22"/>
      <x:c r="K197" s="22"/>
      <x:c r="L197" s="22"/>
      <x:c r="M197" s="22"/>
      <x:c r="N197" s="22"/>
      <x:c r="O197" s="22"/>
      <x:c r="P197" s="22"/>
      <x:c r="Q197" s="22"/>
      <x:c r="R197" s="22"/>
      <x:c r="S197" s="22" t="str">
        <x:f>IF(B197="","",SUM(K197:R197))</x:f>
      </x:c>
      <x:c r="T197" s="22" t="str">
        <x:f>IF(B197="","",IF(S197&gt;=13,"A",IF(S197&gt;=9,"B","C")))</x:f>
      </x:c>
      <x:c r="U197" s="22"/>
      <x:c r="V197" s="22"/>
      <x:c r="W197" s="22"/>
      <x:c r="X197" s="22"/>
      <x:c r="Y197" s="22"/>
    </x:row>
    <x:row r="198">
      <x:c r="A198" s="22" t="str">
        <x:f>IF(B198="","","OPP-"&amp;TEXT(ROW()-2,"0000"))</x:f>
      </x:c>
      <x:c r="B198" s="22"/>
      <x:c r="C198" s="22"/>
      <x:c r="D198" s="22"/>
      <x:c r="E198" s="22"/>
      <x:c r="F198" s="22"/>
      <x:c r="G198" s="22"/>
      <x:c r="H198" s="26"/>
      <x:c r="I198" s="22"/>
      <x:c r="J198" s="22"/>
      <x:c r="K198" s="22"/>
      <x:c r="L198" s="22"/>
      <x:c r="M198" s="22"/>
      <x:c r="N198" s="22"/>
      <x:c r="O198" s="22"/>
      <x:c r="P198" s="22"/>
      <x:c r="Q198" s="22"/>
      <x:c r="R198" s="22"/>
      <x:c r="S198" s="22" t="str">
        <x:f>IF(B198="","",SUM(K198:R198))</x:f>
      </x:c>
      <x:c r="T198" s="22" t="str">
        <x:f>IF(B198="","",IF(S198&gt;=13,"A",IF(S198&gt;=9,"B","C")))</x:f>
      </x:c>
      <x:c r="U198" s="22"/>
      <x:c r="V198" s="22"/>
      <x:c r="W198" s="22"/>
      <x:c r="X198" s="22"/>
      <x:c r="Y198" s="22"/>
    </x:row>
    <x:row r="199">
      <x:c r="A199" s="22" t="str">
        <x:f>IF(B199="","","OPP-"&amp;TEXT(ROW()-2,"0000"))</x:f>
      </x:c>
      <x:c r="B199" s="22"/>
      <x:c r="C199" s="22"/>
      <x:c r="D199" s="22"/>
      <x:c r="E199" s="22"/>
      <x:c r="F199" s="22"/>
      <x:c r="G199" s="22"/>
      <x:c r="H199" s="26"/>
      <x:c r="I199" s="22"/>
      <x:c r="J199" s="22"/>
      <x:c r="K199" s="22"/>
      <x:c r="L199" s="22"/>
      <x:c r="M199" s="22"/>
      <x:c r="N199" s="22"/>
      <x:c r="O199" s="22"/>
      <x:c r="P199" s="22"/>
      <x:c r="Q199" s="22"/>
      <x:c r="R199" s="22"/>
      <x:c r="S199" s="22" t="str">
        <x:f>IF(B199="","",SUM(K199:R199))</x:f>
      </x:c>
      <x:c r="T199" s="22" t="str">
        <x:f>IF(B199="","",IF(S199&gt;=13,"A",IF(S199&gt;=9,"B","C")))</x:f>
      </x:c>
      <x:c r="U199" s="22"/>
      <x:c r="V199" s="22"/>
      <x:c r="W199" s="22"/>
      <x:c r="X199" s="22"/>
      <x:c r="Y199" s="22"/>
    </x:row>
    <x:row r="200">
      <x:c r="A200" s="22" t="str">
        <x:f>IF(B200="","","OPP-"&amp;TEXT(ROW()-2,"0000"))</x:f>
      </x:c>
      <x:c r="B200" s="22"/>
      <x:c r="C200" s="22"/>
      <x:c r="D200" s="22"/>
      <x:c r="E200" s="22"/>
      <x:c r="F200" s="22"/>
      <x:c r="G200" s="22"/>
      <x:c r="H200" s="26"/>
      <x:c r="I200" s="22"/>
      <x:c r="J200" s="22"/>
      <x:c r="K200" s="22"/>
      <x:c r="L200" s="22"/>
      <x:c r="M200" s="22"/>
      <x:c r="N200" s="22"/>
      <x:c r="O200" s="22"/>
      <x:c r="P200" s="22"/>
      <x:c r="Q200" s="22"/>
      <x:c r="R200" s="22"/>
      <x:c r="S200" s="22" t="str">
        <x:f>IF(B200="","",SUM(K200:R200))</x:f>
      </x:c>
      <x:c r="T200" s="22" t="str">
        <x:f>IF(B200="","",IF(S200&gt;=13,"A",IF(S200&gt;=9,"B","C")))</x:f>
      </x:c>
      <x:c r="U200" s="22"/>
      <x:c r="V200" s="22"/>
      <x:c r="W200" s="22"/>
      <x:c r="X200" s="22"/>
      <x:c r="Y200" s="22"/>
    </x:row>
    <x:row r="201">
      <x:c r="A201" s="22" t="str">
        <x:f>IF(B201="","","OPP-"&amp;TEXT(ROW()-2,"0000"))</x:f>
      </x:c>
      <x:c r="B201" s="22"/>
      <x:c r="C201" s="22"/>
      <x:c r="D201" s="22"/>
      <x:c r="E201" s="22"/>
      <x:c r="F201" s="22"/>
      <x:c r="G201" s="22"/>
      <x:c r="H201" s="26"/>
      <x:c r="I201" s="22"/>
      <x:c r="J201" s="22"/>
      <x:c r="K201" s="22"/>
      <x:c r="L201" s="22"/>
      <x:c r="M201" s="22"/>
      <x:c r="N201" s="22"/>
      <x:c r="O201" s="22"/>
      <x:c r="P201" s="22"/>
      <x:c r="Q201" s="22"/>
      <x:c r="R201" s="22"/>
      <x:c r="S201" s="22" t="str">
        <x:f>IF(B201="","",SUM(K201:R201))</x:f>
      </x:c>
      <x:c r="T201" s="22" t="str">
        <x:f>IF(B201="","",IF(S201&gt;=13,"A",IF(S201&gt;=9,"B","C")))</x:f>
      </x:c>
      <x:c r="U201" s="22"/>
      <x:c r="V201" s="22"/>
      <x:c r="W201" s="22"/>
      <x:c r="X201" s="22"/>
      <x:c r="Y201" s="22"/>
    </x:row>
    <x:row r="202">
      <x:c r="A202" s="22" t="str">
        <x:f>IF(B202="","","OPP-"&amp;TEXT(ROW()-2,"0000"))</x:f>
      </x:c>
      <x:c r="B202" s="22"/>
      <x:c r="C202" s="22"/>
      <x:c r="D202" s="22"/>
      <x:c r="E202" s="22"/>
      <x:c r="F202" s="22"/>
      <x:c r="G202" s="22"/>
      <x:c r="H202" s="26"/>
      <x:c r="I202" s="22"/>
      <x:c r="J202" s="22"/>
      <x:c r="K202" s="22"/>
      <x:c r="L202" s="22"/>
      <x:c r="M202" s="22"/>
      <x:c r="N202" s="22"/>
      <x:c r="O202" s="22"/>
      <x:c r="P202" s="22"/>
      <x:c r="Q202" s="22"/>
      <x:c r="R202" s="22"/>
      <x:c r="S202" s="22" t="str">
        <x:f>IF(B202="","",SUM(K202:R202))</x:f>
      </x:c>
      <x:c r="T202" s="22" t="str">
        <x:f>IF(B202="","",IF(S202&gt;=13,"A",IF(S202&gt;=9,"B","C")))</x:f>
      </x:c>
      <x:c r="U202" s="22"/>
      <x:c r="V202" s="22"/>
      <x:c r="W202" s="22"/>
      <x:c r="X202" s="22"/>
      <x:c r="Y202" s="22"/>
    </x:row>
  </x:sheetData>
  <x:mergeCells>
    <x:mergeCell ref="A1:Y1"/>
  </x:mergeCells>
  <x:conditionalFormatting sqref="T3:T202">
    <x:cfRule type="expression" dxfId="15" priority="1">
      <x:formula>T3="A"</x:formula>
    </x:cfRule>
    <x:cfRule type="expression" dxfId="16" priority="2">
      <x:formula>T3="B"</x:formula>
    </x:cfRule>
    <x:cfRule type="expression" dxfId="17" priority="3">
      <x:formula>T3="C"</x:formula>
    </x:cfRule>
  </x:conditionalFormatting>
  <x:conditionalFormatting sqref="S3:S202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{37132CE0-1F39-5764-DDE4-AF2E85156C4D}</x14:id>
        </x:ext>
      </x:extLst>
    </x:cfRule>
  </x:conditionalFormatting>
  <x:dataValidations count="18">
    <x:dataValidation type="list" sqref="D3:D202">
      <x:formula1>Справочники!$H$2:$H$8</x:formula1>
    </x:dataValidation>
    <x:dataValidation type="list" sqref="E3:E202">
      <x:formula1>Справочники!$D$2:$D$6</x:formula1>
    </x:dataValidation>
    <x:dataValidation type="list" sqref="F3:F202">
      <x:formula1>Справочники!$I$2:$I$5</x:formula1>
    </x:dataValidation>
    <x:dataValidation type="list" sqref="K3:K202">
      <x:formula1>"0,1,2"</x:formula1>
    </x:dataValidation>
    <x:dataValidation type="list" sqref="L3:L202">
      <x:formula1>"0,1,2"</x:formula1>
    </x:dataValidation>
    <x:dataValidation type="list" sqref="M3:M202">
      <x:formula1>"0,1,2"</x:formula1>
    </x:dataValidation>
    <x:dataValidation type="list" sqref="N3:N202">
      <x:formula1>"0,1,2"</x:formula1>
    </x:dataValidation>
    <x:dataValidation type="list" sqref="O3:O202">
      <x:formula1>"0,1,2"</x:formula1>
    </x:dataValidation>
    <x:dataValidation type="list" sqref="P3:P202">
      <x:formula1>"0,1,2"</x:formula1>
    </x:dataValidation>
    <x:dataValidation type="list" sqref="Q3:Q202">
      <x:formula1>"0,1,2"</x:formula1>
    </x:dataValidation>
    <x:dataValidation type="list" sqref="R3:R202">
      <x:formula1>"0,1,2"</x:formula1>
    </x:dataValidation>
    <x:dataValidation type="list" sqref="U3:U202">
      <x:formula1>Справочники!$J$2:$J$6</x:formula1>
    </x:dataValidation>
    <x:dataValidation type="list" sqref="W3:W202">
      <x:formula1>Справочники!$P$2:$P$6</x:formula1>
    </x:dataValidation>
    <x:dataValidation type="list" sqref="D3:D302">
      <x:formula1>'Справочники'!$H$2:$H$8</x:formula1>
    </x:dataValidation>
    <x:dataValidation type="list" sqref="E3:E302">
      <x:formula1>'Справочники'!$D$2:$D$6</x:formula1>
    </x:dataValidation>
    <x:dataValidation type="list" sqref="F3:F302">
      <x:formula1>'Справочники'!$I$2:$I$5</x:formula1>
    </x:dataValidation>
    <x:dataValidation type="list" sqref="U3:U302">
      <x:formula1>'Справочники'!$J$2:$J$6</x:formula1>
    </x:dataValidation>
    <x:dataValidation type="list" sqref="W3:W302">
      <x:formula1>'Справочники'!$P$2:$P$6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55eb5da41e40b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37132CE0-1F39-5764-DDE4-AF2E85156C4D}">
            <x14:dataBar gradient="1">
              <x14:cfvo type="min"/>
              <x14:cfvo type="max"/>
              <x14:fillColor rgb="FFA02B93"/>
            </x14:dataBar>
          </x14:cfRule>
          <xm:sqref>S3:S202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32" hidden="0" customWidth="1"/>
    <x:col min="5" max="5" width="14" hidden="0" customWidth="1"/>
    <x:col min="6" max="6" width="14" hidden="0" customWidth="1"/>
    <x:col min="7" max="7" width="18" hidden="0" customWidth="1"/>
    <x:col min="8" max="8" width="28" hidden="0" customWidth="1"/>
    <x:col min="9" max="9" width="18" hidden="0" customWidth="1"/>
    <x:col min="10" max="10" width="20" hidden="0" customWidth="1"/>
    <x:col min="11" max="11" width="30" hidden="0" customWidth="1"/>
    <x:col min="12" max="12" width="30" hidden="0" customWidth="1"/>
  </x:cols>
  <x:sheetData>
    <x:row r="1" ht="30" customHeight="1">
      <x:c r="A1" s="16" t="str">
        <x:v>НАСТАВНИКИ И ЭКСПЕРТЫ: компетенции и допустимая нагрузка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32" customHeight="1">
      <x:c r="A2" s="6" t="str">
        <x:v>ID</x:v>
      </x:c>
      <x:c r="B2" s="6" t="str">
        <x:v>Ф.И.О.</x:v>
      </x:c>
      <x:c r="C2" s="6" t="str">
        <x:v>Роль</x:v>
      </x:c>
      <x:c r="D2" s="6" t="str">
        <x:v>Предметная / профессиональная область</x:v>
      </x:c>
      <x:c r="E2" s="6" t="str">
        <x:v>Лимит маршрутов</x:v>
      </x:c>
      <x:c r="F2" s="6" t="str">
        <x:v>Активных маршрутов</x:v>
      </x:c>
      <x:c r="G2" s="6" t="str">
        <x:v>Статус нагрузки</x:v>
      </x:c>
      <x:c r="H2" s="6" t="str">
        <x:v>Доступные форматы</x:v>
      </x:c>
      <x:c r="I2" s="6" t="str">
        <x:v>Дни / время</x:v>
      </x:c>
      <x:c r="J2" s="6" t="str">
        <x:v>Внутренний контакт</x:v>
      </x:c>
      <x:c r="K2" s="6" t="str">
        <x:v>Внешние компетенции / партнёры</x:v>
      </x:c>
      <x:c r="L2" s="6" t="str">
        <x:v>Примечание</x:v>
      </x:c>
    </x:row>
    <x:row r="3">
      <x:c r="A3" s="22" t="str">
        <x:f>IF(B3="","","MNT-"&amp;TEXT(ROW()-2,"0000"))</x:f>
      </x:c>
      <x:c r="B3" s="22"/>
      <x:c r="C3" s="22"/>
      <x:c r="D3" s="22"/>
      <x:c r="E3" s="22"/>
      <x:c r="F3" s="22" t="n">
        <x:f>COUNTIFS('Маршруты'!$I$3:$I$302,B3,'Маршруты'!$K$3:$K$302,"Активен")</x:f>
        <x:v>0</x:v>
      </x:c>
      <x:c r="G3" s="22" t="str">
        <x:f>IF(B3="","",IF(E3="","Уточнить лимит",IF(F3&gt;E3,"Перегрузка",IF(F3=E3,"Лимит достигнут","Доступен"))))</x:f>
      </x:c>
      <x:c r="H3" s="22"/>
      <x:c r="I3" s="22"/>
      <x:c r="J3" s="22"/>
      <x:c r="K3" s="22"/>
      <x:c r="L3" s="22"/>
    </x:row>
    <x:row r="4">
      <x:c r="A4" s="22" t="str">
        <x:f>IF(B4="","","MNT-"&amp;TEXT(ROW()-2,"0000"))</x:f>
      </x:c>
      <x:c r="B4" s="22"/>
      <x:c r="C4" s="22"/>
      <x:c r="D4" s="22"/>
      <x:c r="E4" s="22"/>
      <x:c r="F4" s="22" t="n">
        <x:f>COUNTIFS('Маршруты'!$I$3:$I$302,B4,'Маршруты'!$K$3:$K$302,"Активен")</x:f>
        <x:v>0</x:v>
      </x:c>
      <x:c r="G4" s="22" t="str">
        <x:f>IF(B4="","",IF(E4="","Уточнить лимит",IF(F4&gt;E4,"Перегрузка",IF(F4=E4,"Лимит достигнут","Доступен"))))</x:f>
      </x:c>
      <x:c r="H4" s="22"/>
      <x:c r="I4" s="22"/>
      <x:c r="J4" s="22"/>
      <x:c r="K4" s="22"/>
      <x:c r="L4" s="22"/>
    </x:row>
    <x:row r="5">
      <x:c r="A5" s="22" t="str">
        <x:f>IF(B5="","","MNT-"&amp;TEXT(ROW()-2,"0000"))</x:f>
      </x:c>
      <x:c r="B5" s="22"/>
      <x:c r="C5" s="22"/>
      <x:c r="D5" s="22"/>
      <x:c r="E5" s="22"/>
      <x:c r="F5" s="22" t="n">
        <x:f>COUNTIFS('Маршруты'!$I$3:$I$302,B5,'Маршруты'!$K$3:$K$302,"Активен")</x:f>
        <x:v>0</x:v>
      </x:c>
      <x:c r="G5" s="22" t="str">
        <x:f>IF(B5="","",IF(E5="","Уточнить лимит",IF(F5&gt;E5,"Перегрузка",IF(F5=E5,"Лимит достигнут","Доступен"))))</x:f>
      </x:c>
      <x:c r="H5" s="22"/>
      <x:c r="I5" s="22"/>
      <x:c r="J5" s="22"/>
      <x:c r="K5" s="22"/>
      <x:c r="L5" s="22"/>
    </x:row>
    <x:row r="6">
      <x:c r="A6" s="22" t="str">
        <x:f>IF(B6="","","MNT-"&amp;TEXT(ROW()-2,"0000"))</x:f>
      </x:c>
      <x:c r="B6" s="22"/>
      <x:c r="C6" s="22"/>
      <x:c r="D6" s="22"/>
      <x:c r="E6" s="22"/>
      <x:c r="F6" s="22" t="n">
        <x:f>COUNTIFS('Маршруты'!$I$3:$I$302,B6,'Маршруты'!$K$3:$K$302,"Активен")</x:f>
        <x:v>0</x:v>
      </x:c>
      <x:c r="G6" s="22" t="str">
        <x:f>IF(B6="","",IF(E6="","Уточнить лимит",IF(F6&gt;E6,"Перегрузка",IF(F6=E6,"Лимит достигнут","Доступен"))))</x:f>
      </x:c>
      <x:c r="H6" s="22"/>
      <x:c r="I6" s="22"/>
      <x:c r="J6" s="22"/>
      <x:c r="K6" s="22"/>
      <x:c r="L6" s="22"/>
    </x:row>
    <x:row r="7">
      <x:c r="A7" s="22" t="str">
        <x:f>IF(B7="","","MNT-"&amp;TEXT(ROW()-2,"0000"))</x:f>
      </x:c>
      <x:c r="B7" s="22"/>
      <x:c r="C7" s="22"/>
      <x:c r="D7" s="22"/>
      <x:c r="E7" s="22"/>
      <x:c r="F7" s="22" t="n">
        <x:f>COUNTIFS('Маршруты'!$I$3:$I$302,B7,'Маршруты'!$K$3:$K$302,"Активен")</x:f>
        <x:v>0</x:v>
      </x:c>
      <x:c r="G7" s="22" t="str">
        <x:f>IF(B7="","",IF(E7="","Уточнить лимит",IF(F7&gt;E7,"Перегрузка",IF(F7=E7,"Лимит достигнут","Доступен"))))</x:f>
      </x:c>
      <x:c r="H7" s="22"/>
      <x:c r="I7" s="22"/>
      <x:c r="J7" s="22"/>
      <x:c r="K7" s="22"/>
      <x:c r="L7" s="22"/>
    </x:row>
    <x:row r="8">
      <x:c r="A8" s="22" t="str">
        <x:f>IF(B8="","","MNT-"&amp;TEXT(ROW()-2,"0000"))</x:f>
      </x:c>
      <x:c r="B8" s="22"/>
      <x:c r="C8" s="22"/>
      <x:c r="D8" s="22"/>
      <x:c r="E8" s="22"/>
      <x:c r="F8" s="22" t="n">
        <x:f>COUNTIFS('Маршруты'!$I$3:$I$302,B8,'Маршруты'!$K$3:$K$302,"Активен")</x:f>
        <x:v>0</x:v>
      </x:c>
      <x:c r="G8" s="22" t="str">
        <x:f>IF(B8="","",IF(E8="","Уточнить лимит",IF(F8&gt;E8,"Перегрузка",IF(F8=E8,"Лимит достигнут","Доступен"))))</x:f>
      </x:c>
      <x:c r="H8" s="22"/>
      <x:c r="I8" s="22"/>
      <x:c r="J8" s="22"/>
      <x:c r="K8" s="22"/>
      <x:c r="L8" s="22"/>
    </x:row>
    <x:row r="9">
      <x:c r="A9" s="22" t="str">
        <x:f>IF(B9="","","MNT-"&amp;TEXT(ROW()-2,"0000"))</x:f>
      </x:c>
      <x:c r="B9" s="22"/>
      <x:c r="C9" s="22"/>
      <x:c r="D9" s="22"/>
      <x:c r="E9" s="22"/>
      <x:c r="F9" s="22" t="n">
        <x:f>COUNTIFS('Маршруты'!$I$3:$I$302,B9,'Маршруты'!$K$3:$K$302,"Активен")</x:f>
        <x:v>0</x:v>
      </x:c>
      <x:c r="G9" s="22" t="str">
        <x:f>IF(B9="","",IF(E9="","Уточнить лимит",IF(F9&gt;E9,"Перегрузка",IF(F9=E9,"Лимит достигнут","Доступен"))))</x:f>
      </x:c>
      <x:c r="H9" s="22"/>
      <x:c r="I9" s="22"/>
      <x:c r="J9" s="22"/>
      <x:c r="K9" s="22"/>
      <x:c r="L9" s="22"/>
    </x:row>
    <x:row r="10">
      <x:c r="A10" s="22" t="str">
        <x:f>IF(B10="","","MNT-"&amp;TEXT(ROW()-2,"0000"))</x:f>
      </x:c>
      <x:c r="B10" s="22"/>
      <x:c r="C10" s="22"/>
      <x:c r="D10" s="22"/>
      <x:c r="E10" s="22"/>
      <x:c r="F10" s="22" t="n">
        <x:f>COUNTIFS('Маршруты'!$I$3:$I$302,B10,'Маршруты'!$K$3:$K$302,"Активен")</x:f>
        <x:v>0</x:v>
      </x:c>
      <x:c r="G10" s="22" t="str">
        <x:f>IF(B10="","",IF(E10="","Уточнить лимит",IF(F10&gt;E10,"Перегрузка",IF(F10=E10,"Лимит достигнут","Доступен"))))</x:f>
      </x:c>
      <x:c r="H10" s="22"/>
      <x:c r="I10" s="22"/>
      <x:c r="J10" s="22"/>
      <x:c r="K10" s="22"/>
      <x:c r="L10" s="22"/>
    </x:row>
    <x:row r="11">
      <x:c r="A11" s="22" t="str">
        <x:f>IF(B11="","","MNT-"&amp;TEXT(ROW()-2,"0000"))</x:f>
      </x:c>
      <x:c r="B11" s="22"/>
      <x:c r="C11" s="22"/>
      <x:c r="D11" s="22"/>
      <x:c r="E11" s="22"/>
      <x:c r="F11" s="22" t="n">
        <x:f>COUNTIFS('Маршруты'!$I$3:$I$302,B11,'Маршруты'!$K$3:$K$302,"Активен")</x:f>
        <x:v>0</x:v>
      </x:c>
      <x:c r="G11" s="22" t="str">
        <x:f>IF(B11="","",IF(E11="","Уточнить лимит",IF(F11&gt;E11,"Перегрузка",IF(F11=E11,"Лимит достигнут","Доступен"))))</x:f>
      </x:c>
      <x:c r="H11" s="22"/>
      <x:c r="I11" s="22"/>
      <x:c r="J11" s="22"/>
      <x:c r="K11" s="22"/>
      <x:c r="L11" s="22"/>
    </x:row>
    <x:row r="12">
      <x:c r="A12" s="22" t="str">
        <x:f>IF(B12="","","MNT-"&amp;TEXT(ROW()-2,"0000"))</x:f>
      </x:c>
      <x:c r="B12" s="22"/>
      <x:c r="C12" s="22"/>
      <x:c r="D12" s="22"/>
      <x:c r="E12" s="22"/>
      <x:c r="F12" s="22" t="n">
        <x:f>COUNTIFS('Маршруты'!$I$3:$I$302,B12,'Маршруты'!$K$3:$K$302,"Активен")</x:f>
        <x:v>0</x:v>
      </x:c>
      <x:c r="G12" s="22" t="str">
        <x:f>IF(B12="","",IF(E12="","Уточнить лимит",IF(F12&gt;E12,"Перегрузка",IF(F12=E12,"Лимит достигнут","Доступен"))))</x:f>
      </x:c>
      <x:c r="H12" s="22"/>
      <x:c r="I12" s="22"/>
      <x:c r="J12" s="22"/>
      <x:c r="K12" s="22"/>
      <x:c r="L12" s="22"/>
    </x:row>
    <x:row r="13">
      <x:c r="A13" s="22" t="str">
        <x:f>IF(B13="","","MNT-"&amp;TEXT(ROW()-2,"0000"))</x:f>
      </x:c>
      <x:c r="B13" s="22"/>
      <x:c r="C13" s="22"/>
      <x:c r="D13" s="22"/>
      <x:c r="E13" s="22"/>
      <x:c r="F13" s="22" t="n">
        <x:f>COUNTIFS('Маршруты'!$I$3:$I$302,B13,'Маршруты'!$K$3:$K$302,"Активен")</x:f>
        <x:v>0</x:v>
      </x:c>
      <x:c r="G13" s="22" t="str">
        <x:f>IF(B13="","",IF(E13="","Уточнить лимит",IF(F13&gt;E13,"Перегрузка",IF(F13=E13,"Лимит достигнут","Доступен"))))</x:f>
      </x:c>
      <x:c r="H13" s="22"/>
      <x:c r="I13" s="22"/>
      <x:c r="J13" s="22"/>
      <x:c r="K13" s="22"/>
      <x:c r="L13" s="22"/>
    </x:row>
    <x:row r="14">
      <x:c r="A14" s="22" t="str">
        <x:f>IF(B14="","","MNT-"&amp;TEXT(ROW()-2,"0000"))</x:f>
      </x:c>
      <x:c r="B14" s="22"/>
      <x:c r="C14" s="22"/>
      <x:c r="D14" s="22"/>
      <x:c r="E14" s="22"/>
      <x:c r="F14" s="22" t="n">
        <x:f>COUNTIFS('Маршруты'!$I$3:$I$302,B14,'Маршруты'!$K$3:$K$302,"Активен")</x:f>
        <x:v>0</x:v>
      </x:c>
      <x:c r="G14" s="22" t="str">
        <x:f>IF(B14="","",IF(E14="","Уточнить лимит",IF(F14&gt;E14,"Перегрузка",IF(F14=E14,"Лимит достигнут","Доступен"))))</x:f>
      </x:c>
      <x:c r="H14" s="22"/>
      <x:c r="I14" s="22"/>
      <x:c r="J14" s="22"/>
      <x:c r="K14" s="22"/>
      <x:c r="L14" s="22"/>
    </x:row>
    <x:row r="15">
      <x:c r="A15" s="22" t="str">
        <x:f>IF(B15="","","MNT-"&amp;TEXT(ROW()-2,"0000"))</x:f>
      </x:c>
      <x:c r="B15" s="22"/>
      <x:c r="C15" s="22"/>
      <x:c r="D15" s="22"/>
      <x:c r="E15" s="22"/>
      <x:c r="F15" s="22" t="n">
        <x:f>COUNTIFS('Маршруты'!$I$3:$I$302,B15,'Маршруты'!$K$3:$K$302,"Активен")</x:f>
        <x:v>0</x:v>
      </x:c>
      <x:c r="G15" s="22" t="str">
        <x:f>IF(B15="","",IF(E15="","Уточнить лимит",IF(F15&gt;E15,"Перегрузка",IF(F15=E15,"Лимит достигнут","Доступен"))))</x:f>
      </x:c>
      <x:c r="H15" s="22"/>
      <x:c r="I15" s="22"/>
      <x:c r="J15" s="22"/>
      <x:c r="K15" s="22"/>
      <x:c r="L15" s="22"/>
    </x:row>
    <x:row r="16">
      <x:c r="A16" s="22" t="str">
        <x:f>IF(B16="","","MNT-"&amp;TEXT(ROW()-2,"0000"))</x:f>
      </x:c>
      <x:c r="B16" s="22"/>
      <x:c r="C16" s="22"/>
      <x:c r="D16" s="22"/>
      <x:c r="E16" s="22"/>
      <x:c r="F16" s="22" t="n">
        <x:f>COUNTIFS('Маршруты'!$I$3:$I$302,B16,'Маршруты'!$K$3:$K$302,"Активен")</x:f>
        <x:v>0</x:v>
      </x:c>
      <x:c r="G16" s="22" t="str">
        <x:f>IF(B16="","",IF(E16="","Уточнить лимит",IF(F16&gt;E16,"Перегрузка",IF(F16=E16,"Лимит достигнут","Доступен"))))</x:f>
      </x:c>
      <x:c r="H16" s="22"/>
      <x:c r="I16" s="22"/>
      <x:c r="J16" s="22"/>
      <x:c r="K16" s="22"/>
      <x:c r="L16" s="22"/>
    </x:row>
    <x:row r="17">
      <x:c r="A17" s="22" t="str">
        <x:f>IF(B17="","","MNT-"&amp;TEXT(ROW()-2,"0000"))</x:f>
      </x:c>
      <x:c r="B17" s="22"/>
      <x:c r="C17" s="22"/>
      <x:c r="D17" s="22"/>
      <x:c r="E17" s="22"/>
      <x:c r="F17" s="22" t="n">
        <x:f>COUNTIFS('Маршруты'!$I$3:$I$302,B17,'Маршруты'!$K$3:$K$302,"Активен")</x:f>
        <x:v>0</x:v>
      </x:c>
      <x:c r="G17" s="22" t="str">
        <x:f>IF(B17="","",IF(E17="","Уточнить лимит",IF(F17&gt;E17,"Перегрузка",IF(F17=E17,"Лимит достигнут","Доступен"))))</x:f>
      </x:c>
      <x:c r="H17" s="22"/>
      <x:c r="I17" s="22"/>
      <x:c r="J17" s="22"/>
      <x:c r="K17" s="22"/>
      <x:c r="L17" s="22"/>
    </x:row>
    <x:row r="18">
      <x:c r="A18" s="22" t="str">
        <x:f>IF(B18="","","MNT-"&amp;TEXT(ROW()-2,"0000"))</x:f>
      </x:c>
      <x:c r="B18" s="22"/>
      <x:c r="C18" s="22"/>
      <x:c r="D18" s="22"/>
      <x:c r="E18" s="22"/>
      <x:c r="F18" s="22" t="n">
        <x:f>COUNTIFS('Маршруты'!$I$3:$I$302,B18,'Маршруты'!$K$3:$K$302,"Активен")</x:f>
        <x:v>0</x:v>
      </x:c>
      <x:c r="G18" s="22" t="str">
        <x:f>IF(B18="","",IF(E18="","Уточнить лимит",IF(F18&gt;E18,"Перегрузка",IF(F18=E18,"Лимит достигнут","Доступен"))))</x:f>
      </x:c>
      <x:c r="H18" s="22"/>
      <x:c r="I18" s="22"/>
      <x:c r="J18" s="22"/>
      <x:c r="K18" s="22"/>
      <x:c r="L18" s="22"/>
    </x:row>
    <x:row r="19">
      <x:c r="A19" s="22" t="str">
        <x:f>IF(B19="","","MNT-"&amp;TEXT(ROW()-2,"0000"))</x:f>
      </x:c>
      <x:c r="B19" s="22"/>
      <x:c r="C19" s="22"/>
      <x:c r="D19" s="22"/>
      <x:c r="E19" s="22"/>
      <x:c r="F19" s="22" t="n">
        <x:f>COUNTIFS('Маршруты'!$I$3:$I$302,B19,'Маршруты'!$K$3:$K$302,"Активен")</x:f>
        <x:v>0</x:v>
      </x:c>
      <x:c r="G19" s="22" t="str">
        <x:f>IF(B19="","",IF(E19="","Уточнить лимит",IF(F19&gt;E19,"Перегрузка",IF(F19=E19,"Лимит достигнут","Доступен"))))</x:f>
      </x:c>
      <x:c r="H19" s="22"/>
      <x:c r="I19" s="22"/>
      <x:c r="J19" s="22"/>
      <x:c r="K19" s="22"/>
      <x:c r="L19" s="22"/>
    </x:row>
    <x:row r="20">
      <x:c r="A20" s="22" t="str">
        <x:f>IF(B20="","","MNT-"&amp;TEXT(ROW()-2,"0000"))</x:f>
      </x:c>
      <x:c r="B20" s="22"/>
      <x:c r="C20" s="22"/>
      <x:c r="D20" s="22"/>
      <x:c r="E20" s="22"/>
      <x:c r="F20" s="22" t="n">
        <x:f>COUNTIFS('Маршруты'!$I$3:$I$302,B20,'Маршруты'!$K$3:$K$302,"Активен")</x:f>
        <x:v>0</x:v>
      </x:c>
      <x:c r="G20" s="22" t="str">
        <x:f>IF(B20="","",IF(E20="","Уточнить лимит",IF(F20&gt;E20,"Перегрузка",IF(F20=E20,"Лимит достигнут","Доступен"))))</x:f>
      </x:c>
      <x:c r="H20" s="22"/>
      <x:c r="I20" s="22"/>
      <x:c r="J20" s="22"/>
      <x:c r="K20" s="22"/>
      <x:c r="L20" s="22"/>
    </x:row>
    <x:row r="21">
      <x:c r="A21" s="22" t="str">
        <x:f>IF(B21="","","MNT-"&amp;TEXT(ROW()-2,"0000"))</x:f>
      </x:c>
      <x:c r="B21" s="22"/>
      <x:c r="C21" s="22"/>
      <x:c r="D21" s="22"/>
      <x:c r="E21" s="22"/>
      <x:c r="F21" s="22" t="n">
        <x:f>COUNTIFS('Маршруты'!$I$3:$I$302,B21,'Маршруты'!$K$3:$K$302,"Активен")</x:f>
        <x:v>0</x:v>
      </x:c>
      <x:c r="G21" s="22" t="str">
        <x:f>IF(B21="","",IF(E21="","Уточнить лимит",IF(F21&gt;E21,"Перегрузка",IF(F21=E21,"Лимит достигнут","Доступен"))))</x:f>
      </x:c>
      <x:c r="H21" s="22"/>
      <x:c r="I21" s="22"/>
      <x:c r="J21" s="22"/>
      <x:c r="K21" s="22"/>
      <x:c r="L21" s="22"/>
    </x:row>
    <x:row r="22">
      <x:c r="A22" s="22" t="str">
        <x:f>IF(B22="","","MNT-"&amp;TEXT(ROW()-2,"0000"))</x:f>
      </x:c>
      <x:c r="B22" s="22"/>
      <x:c r="C22" s="22"/>
      <x:c r="D22" s="22"/>
      <x:c r="E22" s="22"/>
      <x:c r="F22" s="22" t="n">
        <x:f>COUNTIFS('Маршруты'!$I$3:$I$302,B22,'Маршруты'!$K$3:$K$302,"Активен")</x:f>
        <x:v>0</x:v>
      </x:c>
      <x:c r="G22" s="22" t="str">
        <x:f>IF(B22="","",IF(E22="","Уточнить лимит",IF(F22&gt;E22,"Перегрузка",IF(F22=E22,"Лимит достигнут","Доступен"))))</x:f>
      </x:c>
      <x:c r="H22" s="22"/>
      <x:c r="I22" s="22"/>
      <x:c r="J22" s="22"/>
      <x:c r="K22" s="22"/>
      <x:c r="L22" s="22"/>
    </x:row>
    <x:row r="23">
      <x:c r="A23" s="22" t="str">
        <x:f>IF(B23="","","MNT-"&amp;TEXT(ROW()-2,"0000"))</x:f>
      </x:c>
      <x:c r="B23" s="22"/>
      <x:c r="C23" s="22"/>
      <x:c r="D23" s="22"/>
      <x:c r="E23" s="22"/>
      <x:c r="F23" s="22" t="n">
        <x:f>COUNTIFS('Маршруты'!$I$3:$I$302,B23,'Маршруты'!$K$3:$K$302,"Активен")</x:f>
        <x:v>0</x:v>
      </x:c>
      <x:c r="G23" s="22" t="str">
        <x:f>IF(B23="","",IF(E23="","Уточнить лимит",IF(F23&gt;E23,"Перегрузка",IF(F23=E23,"Лимит достигнут","Доступен"))))</x:f>
      </x:c>
      <x:c r="H23" s="22"/>
      <x:c r="I23" s="22"/>
      <x:c r="J23" s="22"/>
      <x:c r="K23" s="22"/>
      <x:c r="L23" s="22"/>
    </x:row>
    <x:row r="24">
      <x:c r="A24" s="22" t="str">
        <x:f>IF(B24="","","MNT-"&amp;TEXT(ROW()-2,"0000"))</x:f>
      </x:c>
      <x:c r="B24" s="22"/>
      <x:c r="C24" s="22"/>
      <x:c r="D24" s="22"/>
      <x:c r="E24" s="22"/>
      <x:c r="F24" s="22" t="n">
        <x:f>COUNTIFS('Маршруты'!$I$3:$I$302,B24,'Маршруты'!$K$3:$K$302,"Активен")</x:f>
        <x:v>0</x:v>
      </x:c>
      <x:c r="G24" s="22" t="str">
        <x:f>IF(B24="","",IF(E24="","Уточнить лимит",IF(F24&gt;E24,"Перегрузка",IF(F24=E24,"Лимит достигнут","Доступен"))))</x:f>
      </x:c>
      <x:c r="H24" s="22"/>
      <x:c r="I24" s="22"/>
      <x:c r="J24" s="22"/>
      <x:c r="K24" s="22"/>
      <x:c r="L24" s="22"/>
    </x:row>
    <x:row r="25">
      <x:c r="A25" s="22" t="str">
        <x:f>IF(B25="","","MNT-"&amp;TEXT(ROW()-2,"0000"))</x:f>
      </x:c>
      <x:c r="B25" s="22"/>
      <x:c r="C25" s="22"/>
      <x:c r="D25" s="22"/>
      <x:c r="E25" s="22"/>
      <x:c r="F25" s="22" t="n">
        <x:f>COUNTIFS('Маршруты'!$I$3:$I$302,B25,'Маршруты'!$K$3:$K$302,"Активен")</x:f>
        <x:v>0</x:v>
      </x:c>
      <x:c r="G25" s="22" t="str">
        <x:f>IF(B25="","",IF(E25="","Уточнить лимит",IF(F25&gt;E25,"Перегрузка",IF(F25=E25,"Лимит достигнут","Доступен"))))</x:f>
      </x:c>
      <x:c r="H25" s="22"/>
      <x:c r="I25" s="22"/>
      <x:c r="J25" s="22"/>
      <x:c r="K25" s="22"/>
      <x:c r="L25" s="22"/>
    </x:row>
    <x:row r="26">
      <x:c r="A26" s="22" t="str">
        <x:f>IF(B26="","","MNT-"&amp;TEXT(ROW()-2,"0000"))</x:f>
      </x:c>
      <x:c r="B26" s="22"/>
      <x:c r="C26" s="22"/>
      <x:c r="D26" s="22"/>
      <x:c r="E26" s="22"/>
      <x:c r="F26" s="22" t="n">
        <x:f>COUNTIFS('Маршруты'!$I$3:$I$302,B26,'Маршруты'!$K$3:$K$302,"Активен")</x:f>
        <x:v>0</x:v>
      </x:c>
      <x:c r="G26" s="22" t="str">
        <x:f>IF(B26="","",IF(E26="","Уточнить лимит",IF(F26&gt;E26,"Перегрузка",IF(F26=E26,"Лимит достигнут","Доступен"))))</x:f>
      </x:c>
      <x:c r="H26" s="22"/>
      <x:c r="I26" s="22"/>
      <x:c r="J26" s="22"/>
      <x:c r="K26" s="22"/>
      <x:c r="L26" s="22"/>
    </x:row>
    <x:row r="27">
      <x:c r="A27" s="22" t="str">
        <x:f>IF(B27="","","MNT-"&amp;TEXT(ROW()-2,"0000"))</x:f>
      </x:c>
      <x:c r="B27" s="22"/>
      <x:c r="C27" s="22"/>
      <x:c r="D27" s="22"/>
      <x:c r="E27" s="22"/>
      <x:c r="F27" s="22" t="n">
        <x:f>COUNTIFS('Маршруты'!$I$3:$I$302,B27,'Маршруты'!$K$3:$K$302,"Активен")</x:f>
        <x:v>0</x:v>
      </x:c>
      <x:c r="G27" s="22" t="str">
        <x:f>IF(B27="","",IF(E27="","Уточнить лимит",IF(F27&gt;E27,"Перегрузка",IF(F27=E27,"Лимит достигнут","Доступен"))))</x:f>
      </x:c>
      <x:c r="H27" s="22"/>
      <x:c r="I27" s="22"/>
      <x:c r="J27" s="22"/>
      <x:c r="K27" s="22"/>
      <x:c r="L27" s="22"/>
    </x:row>
    <x:row r="28">
      <x:c r="A28" s="22" t="str">
        <x:f>IF(B28="","","MNT-"&amp;TEXT(ROW()-2,"0000"))</x:f>
      </x:c>
      <x:c r="B28" s="22"/>
      <x:c r="C28" s="22"/>
      <x:c r="D28" s="22"/>
      <x:c r="E28" s="22"/>
      <x:c r="F28" s="22" t="n">
        <x:f>COUNTIFS('Маршруты'!$I$3:$I$302,B28,'Маршруты'!$K$3:$K$302,"Активен")</x:f>
        <x:v>0</x:v>
      </x:c>
      <x:c r="G28" s="22" t="str">
        <x:f>IF(B28="","",IF(E28="","Уточнить лимит",IF(F28&gt;E28,"Перегрузка",IF(F28=E28,"Лимит достигнут","Доступен"))))</x:f>
      </x:c>
      <x:c r="H28" s="22"/>
      <x:c r="I28" s="22"/>
      <x:c r="J28" s="22"/>
      <x:c r="K28" s="22"/>
      <x:c r="L28" s="22"/>
    </x:row>
    <x:row r="29">
      <x:c r="A29" s="22" t="str">
        <x:f>IF(B29="","","MNT-"&amp;TEXT(ROW()-2,"0000"))</x:f>
      </x:c>
      <x:c r="B29" s="22"/>
      <x:c r="C29" s="22"/>
      <x:c r="D29" s="22"/>
      <x:c r="E29" s="22"/>
      <x:c r="F29" s="22" t="n">
        <x:f>COUNTIFS('Маршруты'!$I$3:$I$302,B29,'Маршруты'!$K$3:$K$302,"Активен")</x:f>
        <x:v>0</x:v>
      </x:c>
      <x:c r="G29" s="22" t="str">
        <x:f>IF(B29="","",IF(E29="","Уточнить лимит",IF(F29&gt;E29,"Перегрузка",IF(F29=E29,"Лимит достигнут","Доступен"))))</x:f>
      </x:c>
      <x:c r="H29" s="22"/>
      <x:c r="I29" s="22"/>
      <x:c r="J29" s="22"/>
      <x:c r="K29" s="22"/>
      <x:c r="L29" s="22"/>
    </x:row>
    <x:row r="30">
      <x:c r="A30" s="22" t="str">
        <x:f>IF(B30="","","MNT-"&amp;TEXT(ROW()-2,"0000"))</x:f>
      </x:c>
      <x:c r="B30" s="22"/>
      <x:c r="C30" s="22"/>
      <x:c r="D30" s="22"/>
      <x:c r="E30" s="22"/>
      <x:c r="F30" s="22" t="n">
        <x:f>COUNTIFS('Маршруты'!$I$3:$I$302,B30,'Маршруты'!$K$3:$K$302,"Активен")</x:f>
        <x:v>0</x:v>
      </x:c>
      <x:c r="G30" s="22" t="str">
        <x:f>IF(B30="","",IF(E30="","Уточнить лимит",IF(F30&gt;E30,"Перегрузка",IF(F30=E30,"Лимит достигнут","Доступен"))))</x:f>
      </x:c>
      <x:c r="H30" s="22"/>
      <x:c r="I30" s="22"/>
      <x:c r="J30" s="22"/>
      <x:c r="K30" s="22"/>
      <x:c r="L30" s="22"/>
    </x:row>
    <x:row r="31">
      <x:c r="A31" s="22" t="str">
        <x:f>IF(B31="","","MNT-"&amp;TEXT(ROW()-2,"0000"))</x:f>
      </x:c>
      <x:c r="B31" s="22"/>
      <x:c r="C31" s="22"/>
      <x:c r="D31" s="22"/>
      <x:c r="E31" s="22"/>
      <x:c r="F31" s="22" t="n">
        <x:f>COUNTIFS('Маршруты'!$I$3:$I$302,B31,'Маршруты'!$K$3:$K$302,"Активен")</x:f>
        <x:v>0</x:v>
      </x:c>
      <x:c r="G31" s="22" t="str">
        <x:f>IF(B31="","",IF(E31="","Уточнить лимит",IF(F31&gt;E31,"Перегрузка",IF(F31=E31,"Лимит достигнут","Доступен"))))</x:f>
      </x:c>
      <x:c r="H31" s="22"/>
      <x:c r="I31" s="22"/>
      <x:c r="J31" s="22"/>
      <x:c r="K31" s="22"/>
      <x:c r="L31" s="22"/>
    </x:row>
    <x:row r="32">
      <x:c r="A32" s="22" t="str">
        <x:f>IF(B32="","","MNT-"&amp;TEXT(ROW()-2,"0000"))</x:f>
      </x:c>
      <x:c r="B32" s="22"/>
      <x:c r="C32" s="22"/>
      <x:c r="D32" s="22"/>
      <x:c r="E32" s="22"/>
      <x:c r="F32" s="22" t="n">
        <x:f>COUNTIFS('Маршруты'!$I$3:$I$302,B32,'Маршруты'!$K$3:$K$302,"Активен")</x:f>
        <x:v>0</x:v>
      </x:c>
      <x:c r="G32" s="22" t="str">
        <x:f>IF(B32="","",IF(E32="","Уточнить лимит",IF(F32&gt;E32,"Перегрузка",IF(F32=E32,"Лимит достигнут","Доступен"))))</x:f>
      </x:c>
      <x:c r="H32" s="22"/>
      <x:c r="I32" s="22"/>
      <x:c r="J32" s="22"/>
      <x:c r="K32" s="22"/>
      <x:c r="L32" s="22"/>
    </x:row>
    <x:row r="33">
      <x:c r="A33" s="22" t="str">
        <x:f>IF(B33="","","MNT-"&amp;TEXT(ROW()-2,"0000"))</x:f>
      </x:c>
      <x:c r="B33" s="22"/>
      <x:c r="C33" s="22"/>
      <x:c r="D33" s="22"/>
      <x:c r="E33" s="22"/>
      <x:c r="F33" s="22" t="n">
        <x:f>COUNTIFS('Маршруты'!$I$3:$I$302,B33,'Маршруты'!$K$3:$K$302,"Активен")</x:f>
        <x:v>0</x:v>
      </x:c>
      <x:c r="G33" s="22" t="str">
        <x:f>IF(B33="","",IF(E33="","Уточнить лимит",IF(F33&gt;E33,"Перегрузка",IF(F33=E33,"Лимит достигнут","Доступен"))))</x:f>
      </x:c>
      <x:c r="H33" s="22"/>
      <x:c r="I33" s="22"/>
      <x:c r="J33" s="22"/>
      <x:c r="K33" s="22"/>
      <x:c r="L33" s="22"/>
    </x:row>
    <x:row r="34">
      <x:c r="A34" s="22" t="str">
        <x:f>IF(B34="","","MNT-"&amp;TEXT(ROW()-2,"0000"))</x:f>
      </x:c>
      <x:c r="B34" s="22"/>
      <x:c r="C34" s="22"/>
      <x:c r="D34" s="22"/>
      <x:c r="E34" s="22"/>
      <x:c r="F34" s="22" t="n">
        <x:f>COUNTIFS('Маршруты'!$I$3:$I$302,B34,'Маршруты'!$K$3:$K$302,"Активен")</x:f>
        <x:v>0</x:v>
      </x:c>
      <x:c r="G34" s="22" t="str">
        <x:f>IF(B34="","",IF(E34="","Уточнить лимит",IF(F34&gt;E34,"Перегрузка",IF(F34=E34,"Лимит достигнут","Доступен"))))</x:f>
      </x:c>
      <x:c r="H34" s="22"/>
      <x:c r="I34" s="22"/>
      <x:c r="J34" s="22"/>
      <x:c r="K34" s="22"/>
      <x:c r="L34" s="22"/>
    </x:row>
    <x:row r="35">
      <x:c r="A35" s="22" t="str">
        <x:f>IF(B35="","","MNT-"&amp;TEXT(ROW()-2,"0000"))</x:f>
      </x:c>
      <x:c r="B35" s="22"/>
      <x:c r="C35" s="22"/>
      <x:c r="D35" s="22"/>
      <x:c r="E35" s="22"/>
      <x:c r="F35" s="22" t="n">
        <x:f>COUNTIFS('Маршруты'!$I$3:$I$302,B35,'Маршруты'!$K$3:$K$302,"Активен")</x:f>
        <x:v>0</x:v>
      </x:c>
      <x:c r="G35" s="22" t="str">
        <x:f>IF(B35="","",IF(E35="","Уточнить лимит",IF(F35&gt;E35,"Перегрузка",IF(F35=E35,"Лимит достигнут","Доступен"))))</x:f>
      </x:c>
      <x:c r="H35" s="22"/>
      <x:c r="I35" s="22"/>
      <x:c r="J35" s="22"/>
      <x:c r="K35" s="22"/>
      <x:c r="L35" s="22"/>
    </x:row>
    <x:row r="36">
      <x:c r="A36" s="22" t="str">
        <x:f>IF(B36="","","MNT-"&amp;TEXT(ROW()-2,"0000"))</x:f>
      </x:c>
      <x:c r="B36" s="22"/>
      <x:c r="C36" s="22"/>
      <x:c r="D36" s="22"/>
      <x:c r="E36" s="22"/>
      <x:c r="F36" s="22" t="n">
        <x:f>COUNTIFS('Маршруты'!$I$3:$I$302,B36,'Маршруты'!$K$3:$K$302,"Активен")</x:f>
        <x:v>0</x:v>
      </x:c>
      <x:c r="G36" s="22" t="str">
        <x:f>IF(B36="","",IF(E36="","Уточнить лимит",IF(F36&gt;E36,"Перегрузка",IF(F36=E36,"Лимит достигнут","Доступен"))))</x:f>
      </x:c>
      <x:c r="H36" s="22"/>
      <x:c r="I36" s="22"/>
      <x:c r="J36" s="22"/>
      <x:c r="K36" s="22"/>
      <x:c r="L36" s="22"/>
    </x:row>
    <x:row r="37">
      <x:c r="A37" s="22" t="str">
        <x:f>IF(B37="","","MNT-"&amp;TEXT(ROW()-2,"0000"))</x:f>
      </x:c>
      <x:c r="B37" s="22"/>
      <x:c r="C37" s="22"/>
      <x:c r="D37" s="22"/>
      <x:c r="E37" s="22"/>
      <x:c r="F37" s="22" t="n">
        <x:f>COUNTIFS('Маршруты'!$I$3:$I$302,B37,'Маршруты'!$K$3:$K$302,"Активен")</x:f>
        <x:v>0</x:v>
      </x:c>
      <x:c r="G37" s="22" t="str">
        <x:f>IF(B37="","",IF(E37="","Уточнить лимит",IF(F37&gt;E37,"Перегрузка",IF(F37=E37,"Лимит достигнут","Доступен"))))</x:f>
      </x:c>
      <x:c r="H37" s="22"/>
      <x:c r="I37" s="22"/>
      <x:c r="J37" s="22"/>
      <x:c r="K37" s="22"/>
      <x:c r="L37" s="22"/>
    </x:row>
    <x:row r="38">
      <x:c r="A38" s="22" t="str">
        <x:f>IF(B38="","","MNT-"&amp;TEXT(ROW()-2,"0000"))</x:f>
      </x:c>
      <x:c r="B38" s="22"/>
      <x:c r="C38" s="22"/>
      <x:c r="D38" s="22"/>
      <x:c r="E38" s="22"/>
      <x:c r="F38" s="22" t="n">
        <x:f>COUNTIFS('Маршруты'!$I$3:$I$302,B38,'Маршруты'!$K$3:$K$302,"Активен")</x:f>
        <x:v>0</x:v>
      </x:c>
      <x:c r="G38" s="22" t="str">
        <x:f>IF(B38="","",IF(E38="","Уточнить лимит",IF(F38&gt;E38,"Перегрузка",IF(F38=E38,"Лимит достигнут","Доступен"))))</x:f>
      </x:c>
      <x:c r="H38" s="22"/>
      <x:c r="I38" s="22"/>
      <x:c r="J38" s="22"/>
      <x:c r="K38" s="22"/>
      <x:c r="L38" s="22"/>
    </x:row>
    <x:row r="39">
      <x:c r="A39" s="22" t="str">
        <x:f>IF(B39="","","MNT-"&amp;TEXT(ROW()-2,"0000"))</x:f>
      </x:c>
      <x:c r="B39" s="22"/>
      <x:c r="C39" s="22"/>
      <x:c r="D39" s="22"/>
      <x:c r="E39" s="22"/>
      <x:c r="F39" s="22" t="n">
        <x:f>COUNTIFS('Маршруты'!$I$3:$I$302,B39,'Маршруты'!$K$3:$K$302,"Активен")</x:f>
        <x:v>0</x:v>
      </x:c>
      <x:c r="G39" s="22" t="str">
        <x:f>IF(B39="","",IF(E39="","Уточнить лимит",IF(F39&gt;E39,"Перегрузка",IF(F39=E39,"Лимит достигнут","Доступен"))))</x:f>
      </x:c>
      <x:c r="H39" s="22"/>
      <x:c r="I39" s="22"/>
      <x:c r="J39" s="22"/>
      <x:c r="K39" s="22"/>
      <x:c r="L39" s="22"/>
    </x:row>
    <x:row r="40">
      <x:c r="A40" s="22" t="str">
        <x:f>IF(B40="","","MNT-"&amp;TEXT(ROW()-2,"0000"))</x:f>
      </x:c>
      <x:c r="B40" s="22"/>
      <x:c r="C40" s="22"/>
      <x:c r="D40" s="22"/>
      <x:c r="E40" s="22"/>
      <x:c r="F40" s="22" t="n">
        <x:f>COUNTIFS('Маршруты'!$I$3:$I$302,B40,'Маршруты'!$K$3:$K$302,"Активен")</x:f>
        <x:v>0</x:v>
      </x:c>
      <x:c r="G40" s="22" t="str">
        <x:f>IF(B40="","",IF(E40="","Уточнить лимит",IF(F40&gt;E40,"Перегрузка",IF(F40=E40,"Лимит достигнут","Доступен"))))</x:f>
      </x:c>
      <x:c r="H40" s="22"/>
      <x:c r="I40" s="22"/>
      <x:c r="J40" s="22"/>
      <x:c r="K40" s="22"/>
      <x:c r="L40" s="22"/>
    </x:row>
    <x:row r="41">
      <x:c r="A41" s="22" t="str">
        <x:f>IF(B41="","","MNT-"&amp;TEXT(ROW()-2,"0000"))</x:f>
      </x:c>
      <x:c r="B41" s="22"/>
      <x:c r="C41" s="22"/>
      <x:c r="D41" s="22"/>
      <x:c r="E41" s="22"/>
      <x:c r="F41" s="22" t="n">
        <x:f>COUNTIFS('Маршруты'!$I$3:$I$302,B41,'Маршруты'!$K$3:$K$302,"Активен")</x:f>
        <x:v>0</x:v>
      </x:c>
      <x:c r="G41" s="22" t="str">
        <x:f>IF(B41="","",IF(E41="","Уточнить лимит",IF(F41&gt;E41,"Перегрузка",IF(F41=E41,"Лимит достигнут","Доступен"))))</x:f>
      </x:c>
      <x:c r="H41" s="22"/>
      <x:c r="I41" s="22"/>
      <x:c r="J41" s="22"/>
      <x:c r="K41" s="22"/>
      <x:c r="L41" s="22"/>
    </x:row>
    <x:row r="42">
      <x:c r="A42" s="22" t="str">
        <x:f>IF(B42="","","MNT-"&amp;TEXT(ROW()-2,"0000"))</x:f>
      </x:c>
      <x:c r="B42" s="22"/>
      <x:c r="C42" s="22"/>
      <x:c r="D42" s="22"/>
      <x:c r="E42" s="22"/>
      <x:c r="F42" s="22" t="n">
        <x:f>COUNTIFS('Маршруты'!$I$3:$I$302,B42,'Маршруты'!$K$3:$K$302,"Активен")</x:f>
        <x:v>0</x:v>
      </x:c>
      <x:c r="G42" s="22" t="str">
        <x:f>IF(B42="","",IF(E42="","Уточнить лимит",IF(F42&gt;E42,"Перегрузка",IF(F42=E42,"Лимит достигнут","Доступен"))))</x:f>
      </x:c>
      <x:c r="H42" s="22"/>
      <x:c r="I42" s="22"/>
      <x:c r="J42" s="22"/>
      <x:c r="K42" s="22"/>
      <x:c r="L42" s="22"/>
    </x:row>
    <x:row r="43">
      <x:c r="A43" s="22" t="str">
        <x:f>IF(B43="","","MNT-"&amp;TEXT(ROW()-2,"0000"))</x:f>
      </x:c>
      <x:c r="B43" s="22"/>
      <x:c r="C43" s="22"/>
      <x:c r="D43" s="22"/>
      <x:c r="E43" s="22"/>
      <x:c r="F43" s="22" t="n">
        <x:f>COUNTIFS('Маршруты'!$I$3:$I$302,B43,'Маршруты'!$K$3:$K$302,"Активен")</x:f>
        <x:v>0</x:v>
      </x:c>
      <x:c r="G43" s="22" t="str">
        <x:f>IF(B43="","",IF(E43="","Уточнить лимит",IF(F43&gt;E43,"Перегрузка",IF(F43=E43,"Лимит достигнут","Доступен"))))</x:f>
      </x:c>
      <x:c r="H43" s="22"/>
      <x:c r="I43" s="22"/>
      <x:c r="J43" s="22"/>
      <x:c r="K43" s="22"/>
      <x:c r="L43" s="22"/>
    </x:row>
    <x:row r="44">
      <x:c r="A44" s="22" t="str">
        <x:f>IF(B44="","","MNT-"&amp;TEXT(ROW()-2,"0000"))</x:f>
      </x:c>
      <x:c r="B44" s="22"/>
      <x:c r="C44" s="22"/>
      <x:c r="D44" s="22"/>
      <x:c r="E44" s="22"/>
      <x:c r="F44" s="22" t="n">
        <x:f>COUNTIFS('Маршруты'!$I$3:$I$302,B44,'Маршруты'!$K$3:$K$302,"Активен")</x:f>
        <x:v>0</x:v>
      </x:c>
      <x:c r="G44" s="22" t="str">
        <x:f>IF(B44="","",IF(E44="","Уточнить лимит",IF(F44&gt;E44,"Перегрузка",IF(F44=E44,"Лимит достигнут","Доступен"))))</x:f>
      </x:c>
      <x:c r="H44" s="22"/>
      <x:c r="I44" s="22"/>
      <x:c r="J44" s="22"/>
      <x:c r="K44" s="22"/>
      <x:c r="L44" s="22"/>
    </x:row>
    <x:row r="45">
      <x:c r="A45" s="22" t="str">
        <x:f>IF(B45="","","MNT-"&amp;TEXT(ROW()-2,"0000"))</x:f>
      </x:c>
      <x:c r="B45" s="22"/>
      <x:c r="C45" s="22"/>
      <x:c r="D45" s="22"/>
      <x:c r="E45" s="22"/>
      <x:c r="F45" s="22" t="n">
        <x:f>COUNTIFS('Маршруты'!$I$3:$I$302,B45,'Маршруты'!$K$3:$K$302,"Активен")</x:f>
        <x:v>0</x:v>
      </x:c>
      <x:c r="G45" s="22" t="str">
        <x:f>IF(B45="","",IF(E45="","Уточнить лимит",IF(F45&gt;E45,"Перегрузка",IF(F45=E45,"Лимит достигнут","Доступен"))))</x:f>
      </x:c>
      <x:c r="H45" s="22"/>
      <x:c r="I45" s="22"/>
      <x:c r="J45" s="22"/>
      <x:c r="K45" s="22"/>
      <x:c r="L45" s="22"/>
    </x:row>
    <x:row r="46">
      <x:c r="A46" s="22" t="str">
        <x:f>IF(B46="","","MNT-"&amp;TEXT(ROW()-2,"0000"))</x:f>
      </x:c>
      <x:c r="B46" s="22"/>
      <x:c r="C46" s="22"/>
      <x:c r="D46" s="22"/>
      <x:c r="E46" s="22"/>
      <x:c r="F46" s="22" t="n">
        <x:f>COUNTIFS('Маршруты'!$I$3:$I$302,B46,'Маршруты'!$K$3:$K$302,"Активен")</x:f>
        <x:v>0</x:v>
      </x:c>
      <x:c r="G46" s="22" t="str">
        <x:f>IF(B46="","",IF(E46="","Уточнить лимит",IF(F46&gt;E46,"Перегрузка",IF(F46=E46,"Лимит достигнут","Доступен"))))</x:f>
      </x:c>
      <x:c r="H46" s="22"/>
      <x:c r="I46" s="22"/>
      <x:c r="J46" s="22"/>
      <x:c r="K46" s="22"/>
      <x:c r="L46" s="22"/>
    </x:row>
    <x:row r="47">
      <x:c r="A47" s="22" t="str">
        <x:f>IF(B47="","","MNT-"&amp;TEXT(ROW()-2,"0000"))</x:f>
      </x:c>
      <x:c r="B47" s="22"/>
      <x:c r="C47" s="22"/>
      <x:c r="D47" s="22"/>
      <x:c r="E47" s="22"/>
      <x:c r="F47" s="22" t="n">
        <x:f>COUNTIFS('Маршруты'!$I$3:$I$302,B47,'Маршруты'!$K$3:$K$302,"Активен")</x:f>
        <x:v>0</x:v>
      </x:c>
      <x:c r="G47" s="22" t="str">
        <x:f>IF(B47="","",IF(E47="","Уточнить лимит",IF(F47&gt;E47,"Перегрузка",IF(F47=E47,"Лимит достигнут","Доступен"))))</x:f>
      </x:c>
      <x:c r="H47" s="22"/>
      <x:c r="I47" s="22"/>
      <x:c r="J47" s="22"/>
      <x:c r="K47" s="22"/>
      <x:c r="L47" s="22"/>
    </x:row>
    <x:row r="48">
      <x:c r="A48" s="22" t="str">
        <x:f>IF(B48="","","MNT-"&amp;TEXT(ROW()-2,"0000"))</x:f>
      </x:c>
      <x:c r="B48" s="22"/>
      <x:c r="C48" s="22"/>
      <x:c r="D48" s="22"/>
      <x:c r="E48" s="22"/>
      <x:c r="F48" s="22" t="n">
        <x:f>COUNTIFS('Маршруты'!$I$3:$I$302,B48,'Маршруты'!$K$3:$K$302,"Активен")</x:f>
        <x:v>0</x:v>
      </x:c>
      <x:c r="G48" s="22" t="str">
        <x:f>IF(B48="","",IF(E48="","Уточнить лимит",IF(F48&gt;E48,"Перегрузка",IF(F48=E48,"Лимит достигнут","Доступен"))))</x:f>
      </x:c>
      <x:c r="H48" s="22"/>
      <x:c r="I48" s="22"/>
      <x:c r="J48" s="22"/>
      <x:c r="K48" s="22"/>
      <x:c r="L48" s="22"/>
    </x:row>
    <x:row r="49">
      <x:c r="A49" s="22" t="str">
        <x:f>IF(B49="","","MNT-"&amp;TEXT(ROW()-2,"0000"))</x:f>
      </x:c>
      <x:c r="B49" s="22"/>
      <x:c r="C49" s="22"/>
      <x:c r="D49" s="22"/>
      <x:c r="E49" s="22"/>
      <x:c r="F49" s="22" t="n">
        <x:f>COUNTIFS('Маршруты'!$I$3:$I$302,B49,'Маршруты'!$K$3:$K$302,"Активен")</x:f>
        <x:v>0</x:v>
      </x:c>
      <x:c r="G49" s="22" t="str">
        <x:f>IF(B49="","",IF(E49="","Уточнить лимит",IF(F49&gt;E49,"Перегрузка",IF(F49=E49,"Лимит достигнут","Доступен"))))</x:f>
      </x:c>
      <x:c r="H49" s="22"/>
      <x:c r="I49" s="22"/>
      <x:c r="J49" s="22"/>
      <x:c r="K49" s="22"/>
      <x:c r="L49" s="22"/>
    </x:row>
    <x:row r="50">
      <x:c r="A50" s="22" t="str">
        <x:f>IF(B50="","","MNT-"&amp;TEXT(ROW()-2,"0000"))</x:f>
      </x:c>
      <x:c r="B50" s="22"/>
      <x:c r="C50" s="22"/>
      <x:c r="D50" s="22"/>
      <x:c r="E50" s="22"/>
      <x:c r="F50" s="22" t="n">
        <x:f>COUNTIFS('Маршруты'!$I$3:$I$302,B50,'Маршруты'!$K$3:$K$302,"Активен")</x:f>
        <x:v>0</x:v>
      </x:c>
      <x:c r="G50" s="22" t="str">
        <x:f>IF(B50="","",IF(E50="","Уточнить лимит",IF(F50&gt;E50,"Перегрузка",IF(F50=E50,"Лимит достигнут","Доступен"))))</x:f>
      </x:c>
      <x:c r="H50" s="22"/>
      <x:c r="I50" s="22"/>
      <x:c r="J50" s="22"/>
      <x:c r="K50" s="22"/>
      <x:c r="L50" s="22"/>
    </x:row>
    <x:row r="51">
      <x:c r="A51" s="22" t="str">
        <x:f>IF(B51="","","MNT-"&amp;TEXT(ROW()-2,"0000"))</x:f>
      </x:c>
      <x:c r="B51" s="22"/>
      <x:c r="C51" s="22"/>
      <x:c r="D51" s="22"/>
      <x:c r="E51" s="22"/>
      <x:c r="F51" s="22" t="n">
        <x:f>COUNTIFS('Маршруты'!$I$3:$I$302,B51,'Маршруты'!$K$3:$K$302,"Активен")</x:f>
        <x:v>0</x:v>
      </x:c>
      <x:c r="G51" s="22" t="str">
        <x:f>IF(B51="","",IF(E51="","Уточнить лимит",IF(F51&gt;E51,"Перегрузка",IF(F51=E51,"Лимит достигнут","Доступен"))))</x:f>
      </x:c>
      <x:c r="H51" s="22"/>
      <x:c r="I51" s="22"/>
      <x:c r="J51" s="22"/>
      <x:c r="K51" s="22"/>
      <x:c r="L51" s="22"/>
    </x:row>
    <x:row r="52">
      <x:c r="A52" s="22" t="str">
        <x:f>IF(B52="","","MNT-"&amp;TEXT(ROW()-2,"0000"))</x:f>
      </x:c>
      <x:c r="B52" s="22"/>
      <x:c r="C52" s="22"/>
      <x:c r="D52" s="22"/>
      <x:c r="E52" s="22"/>
      <x:c r="F52" s="22" t="n">
        <x:f>COUNTIFS('Маршруты'!$I$3:$I$302,B52,'Маршруты'!$K$3:$K$302,"Активен")</x:f>
        <x:v>0</x:v>
      </x:c>
      <x:c r="G52" s="22" t="str">
        <x:f>IF(B52="","",IF(E52="","Уточнить лимит",IF(F52&gt;E52,"Перегрузка",IF(F52=E52,"Лимит достигнут","Доступен"))))</x:f>
      </x:c>
      <x:c r="H52" s="22"/>
      <x:c r="I52" s="22"/>
      <x:c r="J52" s="22"/>
      <x:c r="K52" s="22"/>
      <x:c r="L52" s="22"/>
    </x:row>
    <x:row r="53">
      <x:c r="A53" s="22" t="str">
        <x:f>IF(B53="","","MNT-"&amp;TEXT(ROW()-2,"0000"))</x:f>
      </x:c>
      <x:c r="B53" s="22"/>
      <x:c r="C53" s="22"/>
      <x:c r="D53" s="22"/>
      <x:c r="E53" s="22"/>
      <x:c r="F53" s="22" t="n">
        <x:f>COUNTIFS('Маршруты'!$I$3:$I$302,B53,'Маршруты'!$K$3:$K$302,"Активен")</x:f>
        <x:v>0</x:v>
      </x:c>
      <x:c r="G53" s="22" t="str">
        <x:f>IF(B53="","",IF(E53="","Уточнить лимит",IF(F53&gt;E53,"Перегрузка",IF(F53=E53,"Лимит достигнут","Доступен"))))</x:f>
      </x:c>
      <x:c r="H53" s="22"/>
      <x:c r="I53" s="22"/>
      <x:c r="J53" s="22"/>
      <x:c r="K53" s="22"/>
      <x:c r="L53" s="22"/>
    </x:row>
    <x:row r="54">
      <x:c r="A54" s="22" t="str">
        <x:f>IF(B54="","","MNT-"&amp;TEXT(ROW()-2,"0000"))</x:f>
      </x:c>
      <x:c r="B54" s="22"/>
      <x:c r="C54" s="22"/>
      <x:c r="D54" s="22"/>
      <x:c r="E54" s="22"/>
      <x:c r="F54" s="22" t="n">
        <x:f>COUNTIFS('Маршруты'!$I$3:$I$302,B54,'Маршруты'!$K$3:$K$302,"Активен")</x:f>
        <x:v>0</x:v>
      </x:c>
      <x:c r="G54" s="22" t="str">
        <x:f>IF(B54="","",IF(E54="","Уточнить лимит",IF(F54&gt;E54,"Перегрузка",IF(F54=E54,"Лимит достигнут","Доступен"))))</x:f>
      </x:c>
      <x:c r="H54" s="22"/>
      <x:c r="I54" s="22"/>
      <x:c r="J54" s="22"/>
      <x:c r="K54" s="22"/>
      <x:c r="L54" s="22"/>
    </x:row>
    <x:row r="55">
      <x:c r="A55" s="22" t="str">
        <x:f>IF(B55="","","MNT-"&amp;TEXT(ROW()-2,"0000"))</x:f>
      </x:c>
      <x:c r="B55" s="22"/>
      <x:c r="C55" s="22"/>
      <x:c r="D55" s="22"/>
      <x:c r="E55" s="22"/>
      <x:c r="F55" s="22" t="n">
        <x:f>COUNTIFS('Маршруты'!$I$3:$I$302,B55,'Маршруты'!$K$3:$K$302,"Активен")</x:f>
        <x:v>0</x:v>
      </x:c>
      <x:c r="G55" s="22" t="str">
        <x:f>IF(B55="","",IF(E55="","Уточнить лимит",IF(F55&gt;E55,"Перегрузка",IF(F55=E55,"Лимит достигнут","Доступен"))))</x:f>
      </x:c>
      <x:c r="H55" s="22"/>
      <x:c r="I55" s="22"/>
      <x:c r="J55" s="22"/>
      <x:c r="K55" s="22"/>
      <x:c r="L55" s="22"/>
    </x:row>
    <x:row r="56">
      <x:c r="A56" s="22" t="str">
        <x:f>IF(B56="","","MNT-"&amp;TEXT(ROW()-2,"0000"))</x:f>
      </x:c>
      <x:c r="B56" s="22"/>
      <x:c r="C56" s="22"/>
      <x:c r="D56" s="22"/>
      <x:c r="E56" s="22"/>
      <x:c r="F56" s="22" t="n">
        <x:f>COUNTIFS('Маршруты'!$I$3:$I$302,B56,'Маршруты'!$K$3:$K$302,"Активен")</x:f>
        <x:v>0</x:v>
      </x:c>
      <x:c r="G56" s="22" t="str">
        <x:f>IF(B56="","",IF(E56="","Уточнить лимит",IF(F56&gt;E56,"Перегрузка",IF(F56=E56,"Лимит достигнут","Доступен"))))</x:f>
      </x:c>
      <x:c r="H56" s="22"/>
      <x:c r="I56" s="22"/>
      <x:c r="J56" s="22"/>
      <x:c r="K56" s="22"/>
      <x:c r="L56" s="22"/>
    </x:row>
    <x:row r="57">
      <x:c r="A57" s="22" t="str">
        <x:f>IF(B57="","","MNT-"&amp;TEXT(ROW()-2,"0000"))</x:f>
      </x:c>
      <x:c r="B57" s="22"/>
      <x:c r="C57" s="22"/>
      <x:c r="D57" s="22"/>
      <x:c r="E57" s="22"/>
      <x:c r="F57" s="22" t="n">
        <x:f>COUNTIFS('Маршруты'!$I$3:$I$302,B57,'Маршруты'!$K$3:$K$302,"Активен")</x:f>
        <x:v>0</x:v>
      </x:c>
      <x:c r="G57" s="22" t="str">
        <x:f>IF(B57="","",IF(E57="","Уточнить лимит",IF(F57&gt;E57,"Перегрузка",IF(F57=E57,"Лимит достигнут","Доступен"))))</x:f>
      </x:c>
      <x:c r="H57" s="22"/>
      <x:c r="I57" s="22"/>
      <x:c r="J57" s="22"/>
      <x:c r="K57" s="22"/>
      <x:c r="L57" s="22"/>
    </x:row>
    <x:row r="58">
      <x:c r="A58" s="22" t="str">
        <x:f>IF(B58="","","MNT-"&amp;TEXT(ROW()-2,"0000"))</x:f>
      </x:c>
      <x:c r="B58" s="22"/>
      <x:c r="C58" s="22"/>
      <x:c r="D58" s="22"/>
      <x:c r="E58" s="22"/>
      <x:c r="F58" s="22" t="n">
        <x:f>COUNTIFS('Маршруты'!$I$3:$I$302,B58,'Маршруты'!$K$3:$K$302,"Активен")</x:f>
        <x:v>0</x:v>
      </x:c>
      <x:c r="G58" s="22" t="str">
        <x:f>IF(B58="","",IF(E58="","Уточнить лимит",IF(F58&gt;E58,"Перегрузка",IF(F58=E58,"Лимит достигнут","Доступен"))))</x:f>
      </x:c>
      <x:c r="H58" s="22"/>
      <x:c r="I58" s="22"/>
      <x:c r="J58" s="22"/>
      <x:c r="K58" s="22"/>
      <x:c r="L58" s="22"/>
    </x:row>
    <x:row r="59">
      <x:c r="A59" s="22" t="str">
        <x:f>IF(B59="","","MNT-"&amp;TEXT(ROW()-2,"0000"))</x:f>
      </x:c>
      <x:c r="B59" s="22"/>
      <x:c r="C59" s="22"/>
      <x:c r="D59" s="22"/>
      <x:c r="E59" s="22"/>
      <x:c r="F59" s="22" t="n">
        <x:f>COUNTIFS('Маршруты'!$I$3:$I$302,B59,'Маршруты'!$K$3:$K$302,"Активен")</x:f>
        <x:v>0</x:v>
      </x:c>
      <x:c r="G59" s="22" t="str">
        <x:f>IF(B59="","",IF(E59="","Уточнить лимит",IF(F59&gt;E59,"Перегрузка",IF(F59=E59,"Лимит достигнут","Доступен"))))</x:f>
      </x:c>
      <x:c r="H59" s="22"/>
      <x:c r="I59" s="22"/>
      <x:c r="J59" s="22"/>
      <x:c r="K59" s="22"/>
      <x:c r="L59" s="22"/>
    </x:row>
    <x:row r="60">
      <x:c r="A60" s="22" t="str">
        <x:f>IF(B60="","","MNT-"&amp;TEXT(ROW()-2,"0000"))</x:f>
      </x:c>
      <x:c r="B60" s="22"/>
      <x:c r="C60" s="22"/>
      <x:c r="D60" s="22"/>
      <x:c r="E60" s="22"/>
      <x:c r="F60" s="22" t="n">
        <x:f>COUNTIFS('Маршруты'!$I$3:$I$302,B60,'Маршруты'!$K$3:$K$302,"Активен")</x:f>
        <x:v>0</x:v>
      </x:c>
      <x:c r="G60" s="22" t="str">
        <x:f>IF(B60="","",IF(E60="","Уточнить лимит",IF(F60&gt;E60,"Перегрузка",IF(F60=E60,"Лимит достигнут","Доступен"))))</x:f>
      </x:c>
      <x:c r="H60" s="22"/>
      <x:c r="I60" s="22"/>
      <x:c r="J60" s="22"/>
      <x:c r="K60" s="22"/>
      <x:c r="L60" s="22"/>
    </x:row>
    <x:row r="61">
      <x:c r="A61" s="22" t="str">
        <x:f>IF(B61="","","MNT-"&amp;TEXT(ROW()-2,"0000"))</x:f>
      </x:c>
      <x:c r="B61" s="22"/>
      <x:c r="C61" s="22"/>
      <x:c r="D61" s="22"/>
      <x:c r="E61" s="22"/>
      <x:c r="F61" s="22" t="n">
        <x:f>COUNTIFS('Маршруты'!$I$3:$I$302,B61,'Маршруты'!$K$3:$K$302,"Активен")</x:f>
        <x:v>0</x:v>
      </x:c>
      <x:c r="G61" s="22" t="str">
        <x:f>IF(B61="","",IF(E61="","Уточнить лимит",IF(F61&gt;E61,"Перегрузка",IF(F61=E61,"Лимит достигнут","Доступен"))))</x:f>
      </x:c>
      <x:c r="H61" s="22"/>
      <x:c r="I61" s="22"/>
      <x:c r="J61" s="22"/>
      <x:c r="K61" s="22"/>
      <x:c r="L61" s="22"/>
    </x:row>
    <x:row r="62">
      <x:c r="A62" s="22" t="str">
        <x:f>IF(B62="","","MNT-"&amp;TEXT(ROW()-2,"0000"))</x:f>
      </x:c>
      <x:c r="B62" s="22"/>
      <x:c r="C62" s="22"/>
      <x:c r="D62" s="22"/>
      <x:c r="E62" s="22"/>
      <x:c r="F62" s="22" t="n">
        <x:f>COUNTIFS('Маршруты'!$I$3:$I$302,B62,'Маршруты'!$K$3:$K$302,"Активен")</x:f>
        <x:v>0</x:v>
      </x:c>
      <x:c r="G62" s="22" t="str">
        <x:f>IF(B62="","",IF(E62="","Уточнить лимит",IF(F62&gt;E62,"Перегрузка",IF(F62=E62,"Лимит достигнут","Доступен"))))</x:f>
      </x:c>
      <x:c r="H62" s="22"/>
      <x:c r="I62" s="22"/>
      <x:c r="J62" s="22"/>
      <x:c r="K62" s="22"/>
      <x:c r="L62" s="22"/>
    </x:row>
    <x:row r="63">
      <x:c r="A63" s="22" t="str">
        <x:f>IF(B63="","","MNT-"&amp;TEXT(ROW()-2,"0000"))</x:f>
      </x:c>
      <x:c r="B63" s="22"/>
      <x:c r="C63" s="22"/>
      <x:c r="D63" s="22"/>
      <x:c r="E63" s="22"/>
      <x:c r="F63" s="22" t="n">
        <x:f>COUNTIFS('Маршруты'!$I$3:$I$302,B63,'Маршруты'!$K$3:$K$302,"Активен")</x:f>
        <x:v>0</x:v>
      </x:c>
      <x:c r="G63" s="22" t="str">
        <x:f>IF(B63="","",IF(E63="","Уточнить лимит",IF(F63&gt;E63,"Перегрузка",IF(F63=E63,"Лимит достигнут","Доступен"))))</x:f>
      </x:c>
      <x:c r="H63" s="22"/>
      <x:c r="I63" s="22"/>
      <x:c r="J63" s="22"/>
      <x:c r="K63" s="22"/>
      <x:c r="L63" s="22"/>
    </x:row>
    <x:row r="64">
      <x:c r="A64" s="22" t="str">
        <x:f>IF(B64="","","MNT-"&amp;TEXT(ROW()-2,"0000"))</x:f>
      </x:c>
      <x:c r="B64" s="22"/>
      <x:c r="C64" s="22"/>
      <x:c r="D64" s="22"/>
      <x:c r="E64" s="22"/>
      <x:c r="F64" s="22" t="n">
        <x:f>COUNTIFS('Маршруты'!$I$3:$I$302,B64,'Маршруты'!$K$3:$K$302,"Активен")</x:f>
        <x:v>0</x:v>
      </x:c>
      <x:c r="G64" s="22" t="str">
        <x:f>IF(B64="","",IF(E64="","Уточнить лимит",IF(F64&gt;E64,"Перегрузка",IF(F64=E64,"Лимит достигнут","Доступен"))))</x:f>
      </x:c>
      <x:c r="H64" s="22"/>
      <x:c r="I64" s="22"/>
      <x:c r="J64" s="22"/>
      <x:c r="K64" s="22"/>
      <x:c r="L64" s="22"/>
    </x:row>
    <x:row r="65">
      <x:c r="A65" s="22" t="str">
        <x:f>IF(B65="","","MNT-"&amp;TEXT(ROW()-2,"0000"))</x:f>
      </x:c>
      <x:c r="B65" s="22"/>
      <x:c r="C65" s="22"/>
      <x:c r="D65" s="22"/>
      <x:c r="E65" s="22"/>
      <x:c r="F65" s="22" t="n">
        <x:f>COUNTIFS('Маршруты'!$I$3:$I$302,B65,'Маршруты'!$K$3:$K$302,"Активен")</x:f>
        <x:v>0</x:v>
      </x:c>
      <x:c r="G65" s="22" t="str">
        <x:f>IF(B65="","",IF(E65="","Уточнить лимит",IF(F65&gt;E65,"Перегрузка",IF(F65=E65,"Лимит достигнут","Доступен"))))</x:f>
      </x:c>
      <x:c r="H65" s="22"/>
      <x:c r="I65" s="22"/>
      <x:c r="J65" s="22"/>
      <x:c r="K65" s="22"/>
      <x:c r="L65" s="22"/>
    </x:row>
    <x:row r="66">
      <x:c r="A66" s="22" t="str">
        <x:f>IF(B66="","","MNT-"&amp;TEXT(ROW()-2,"0000"))</x:f>
      </x:c>
      <x:c r="B66" s="22"/>
      <x:c r="C66" s="22"/>
      <x:c r="D66" s="22"/>
      <x:c r="E66" s="22"/>
      <x:c r="F66" s="22" t="n">
        <x:f>COUNTIFS('Маршруты'!$I$3:$I$302,B66,'Маршруты'!$K$3:$K$302,"Активен")</x:f>
        <x:v>0</x:v>
      </x:c>
      <x:c r="G66" s="22" t="str">
        <x:f>IF(B66="","",IF(E66="","Уточнить лимит",IF(F66&gt;E66,"Перегрузка",IF(F66=E66,"Лимит достигнут","Доступен"))))</x:f>
      </x:c>
      <x:c r="H66" s="22"/>
      <x:c r="I66" s="22"/>
      <x:c r="J66" s="22"/>
      <x:c r="K66" s="22"/>
      <x:c r="L66" s="22"/>
    </x:row>
    <x:row r="67">
      <x:c r="A67" s="22" t="str">
        <x:f>IF(B67="","","MNT-"&amp;TEXT(ROW()-2,"0000"))</x:f>
      </x:c>
      <x:c r="B67" s="22"/>
      <x:c r="C67" s="22"/>
      <x:c r="D67" s="22"/>
      <x:c r="E67" s="22"/>
      <x:c r="F67" s="22" t="n">
        <x:f>COUNTIFS('Маршруты'!$I$3:$I$302,B67,'Маршруты'!$K$3:$K$302,"Активен")</x:f>
        <x:v>0</x:v>
      </x:c>
      <x:c r="G67" s="22" t="str">
        <x:f>IF(B67="","",IF(E67="","Уточнить лимит",IF(F67&gt;E67,"Перегрузка",IF(F67=E67,"Лимит достигнут","Доступен"))))</x:f>
      </x:c>
      <x:c r="H67" s="22"/>
      <x:c r="I67" s="22"/>
      <x:c r="J67" s="22"/>
      <x:c r="K67" s="22"/>
      <x:c r="L67" s="22"/>
    </x:row>
    <x:row r="68">
      <x:c r="A68" s="22" t="str">
        <x:f>IF(B68="","","MNT-"&amp;TEXT(ROW()-2,"0000"))</x:f>
      </x:c>
      <x:c r="B68" s="22"/>
      <x:c r="C68" s="22"/>
      <x:c r="D68" s="22"/>
      <x:c r="E68" s="22"/>
      <x:c r="F68" s="22" t="n">
        <x:f>COUNTIFS('Маршруты'!$I$3:$I$302,B68,'Маршруты'!$K$3:$K$302,"Активен")</x:f>
        <x:v>0</x:v>
      </x:c>
      <x:c r="G68" s="22" t="str">
        <x:f>IF(B68="","",IF(E68="","Уточнить лимит",IF(F68&gt;E68,"Перегрузка",IF(F68=E68,"Лимит достигнут","Доступен"))))</x:f>
      </x:c>
      <x:c r="H68" s="22"/>
      <x:c r="I68" s="22"/>
      <x:c r="J68" s="22"/>
      <x:c r="K68" s="22"/>
      <x:c r="L68" s="22"/>
    </x:row>
    <x:row r="69">
      <x:c r="A69" s="22" t="str">
        <x:f>IF(B69="","","MNT-"&amp;TEXT(ROW()-2,"0000"))</x:f>
      </x:c>
      <x:c r="B69" s="22"/>
      <x:c r="C69" s="22"/>
      <x:c r="D69" s="22"/>
      <x:c r="E69" s="22"/>
      <x:c r="F69" s="22" t="n">
        <x:f>COUNTIFS('Маршруты'!$I$3:$I$302,B69,'Маршруты'!$K$3:$K$302,"Активен")</x:f>
        <x:v>0</x:v>
      </x:c>
      <x:c r="G69" s="22" t="str">
        <x:f>IF(B69="","",IF(E69="","Уточнить лимит",IF(F69&gt;E69,"Перегрузка",IF(F69=E69,"Лимит достигнут","Доступен"))))</x:f>
      </x:c>
      <x:c r="H69" s="22"/>
      <x:c r="I69" s="22"/>
      <x:c r="J69" s="22"/>
      <x:c r="K69" s="22"/>
      <x:c r="L69" s="22"/>
    </x:row>
    <x:row r="70">
      <x:c r="A70" s="22" t="str">
        <x:f>IF(B70="","","MNT-"&amp;TEXT(ROW()-2,"0000"))</x:f>
      </x:c>
      <x:c r="B70" s="22"/>
      <x:c r="C70" s="22"/>
      <x:c r="D70" s="22"/>
      <x:c r="E70" s="22"/>
      <x:c r="F70" s="22" t="n">
        <x:f>COUNTIFS('Маршруты'!$I$3:$I$302,B70,'Маршруты'!$K$3:$K$302,"Активен")</x:f>
        <x:v>0</x:v>
      </x:c>
      <x:c r="G70" s="22" t="str">
        <x:f>IF(B70="","",IF(E70="","Уточнить лимит",IF(F70&gt;E70,"Перегрузка",IF(F70=E70,"Лимит достигнут","Доступен"))))</x:f>
      </x:c>
      <x:c r="H70" s="22"/>
      <x:c r="I70" s="22"/>
      <x:c r="J70" s="22"/>
      <x:c r="K70" s="22"/>
      <x:c r="L70" s="22"/>
    </x:row>
    <x:row r="71">
      <x:c r="A71" s="22" t="str">
        <x:f>IF(B71="","","MNT-"&amp;TEXT(ROW()-2,"0000"))</x:f>
      </x:c>
      <x:c r="B71" s="22"/>
      <x:c r="C71" s="22"/>
      <x:c r="D71" s="22"/>
      <x:c r="E71" s="22"/>
      <x:c r="F71" s="22" t="n">
        <x:f>COUNTIFS('Маршруты'!$I$3:$I$302,B71,'Маршруты'!$K$3:$K$302,"Активен")</x:f>
        <x:v>0</x:v>
      </x:c>
      <x:c r="G71" s="22" t="str">
        <x:f>IF(B71="","",IF(E71="","Уточнить лимит",IF(F71&gt;E71,"Перегрузка",IF(F71=E71,"Лимит достигнут","Доступен"))))</x:f>
      </x:c>
      <x:c r="H71" s="22"/>
      <x:c r="I71" s="22"/>
      <x:c r="J71" s="22"/>
      <x:c r="K71" s="22"/>
      <x:c r="L71" s="22"/>
    </x:row>
    <x:row r="72">
      <x:c r="A72" s="22" t="str">
        <x:f>IF(B72="","","MNT-"&amp;TEXT(ROW()-2,"0000"))</x:f>
      </x:c>
      <x:c r="B72" s="22"/>
      <x:c r="C72" s="22"/>
      <x:c r="D72" s="22"/>
      <x:c r="E72" s="22"/>
      <x:c r="F72" s="22" t="n">
        <x:f>COUNTIFS('Маршруты'!$I$3:$I$302,B72,'Маршруты'!$K$3:$K$302,"Активен")</x:f>
        <x:v>0</x:v>
      </x:c>
      <x:c r="G72" s="22" t="str">
        <x:f>IF(B72="","",IF(E72="","Уточнить лимит",IF(F72&gt;E72,"Перегрузка",IF(F72=E72,"Лимит достигнут","Доступен"))))</x:f>
      </x:c>
      <x:c r="H72" s="22"/>
      <x:c r="I72" s="22"/>
      <x:c r="J72" s="22"/>
      <x:c r="K72" s="22"/>
      <x:c r="L72" s="22"/>
    </x:row>
    <x:row r="73">
      <x:c r="A73" s="22" t="str">
        <x:f>IF(B73="","","MNT-"&amp;TEXT(ROW()-2,"0000"))</x:f>
      </x:c>
      <x:c r="B73" s="22"/>
      <x:c r="C73" s="22"/>
      <x:c r="D73" s="22"/>
      <x:c r="E73" s="22"/>
      <x:c r="F73" s="22" t="n">
        <x:f>COUNTIFS('Маршруты'!$I$3:$I$302,B73,'Маршруты'!$K$3:$K$302,"Активен")</x:f>
        <x:v>0</x:v>
      </x:c>
      <x:c r="G73" s="22" t="str">
        <x:f>IF(B73="","",IF(E73="","Уточнить лимит",IF(F73&gt;E73,"Перегрузка",IF(F73=E73,"Лимит достигнут","Доступен"))))</x:f>
      </x:c>
      <x:c r="H73" s="22"/>
      <x:c r="I73" s="22"/>
      <x:c r="J73" s="22"/>
      <x:c r="K73" s="22"/>
      <x:c r="L73" s="22"/>
    </x:row>
    <x:row r="74">
      <x:c r="A74" s="22" t="str">
        <x:f>IF(B74="","","MNT-"&amp;TEXT(ROW()-2,"0000"))</x:f>
      </x:c>
      <x:c r="B74" s="22"/>
      <x:c r="C74" s="22"/>
      <x:c r="D74" s="22"/>
      <x:c r="E74" s="22"/>
      <x:c r="F74" s="22" t="n">
        <x:f>COUNTIFS('Маршруты'!$I$3:$I$302,B74,'Маршруты'!$K$3:$K$302,"Активен")</x:f>
        <x:v>0</x:v>
      </x:c>
      <x:c r="G74" s="22" t="str">
        <x:f>IF(B74="","",IF(E74="","Уточнить лимит",IF(F74&gt;E74,"Перегрузка",IF(F74=E74,"Лимит достигнут","Доступен"))))</x:f>
      </x:c>
      <x:c r="H74" s="22"/>
      <x:c r="I74" s="22"/>
      <x:c r="J74" s="22"/>
      <x:c r="K74" s="22"/>
      <x:c r="L74" s="22"/>
    </x:row>
    <x:row r="75">
      <x:c r="A75" s="22" t="str">
        <x:f>IF(B75="","","MNT-"&amp;TEXT(ROW()-2,"0000"))</x:f>
      </x:c>
      <x:c r="B75" s="22"/>
      <x:c r="C75" s="22"/>
      <x:c r="D75" s="22"/>
      <x:c r="E75" s="22"/>
      <x:c r="F75" s="22" t="n">
        <x:f>COUNTIFS('Маршруты'!$I$3:$I$302,B75,'Маршруты'!$K$3:$K$302,"Активен")</x:f>
        <x:v>0</x:v>
      </x:c>
      <x:c r="G75" s="22" t="str">
        <x:f>IF(B75="","",IF(E75="","Уточнить лимит",IF(F75&gt;E75,"Перегрузка",IF(F75=E75,"Лимит достигнут","Доступен"))))</x:f>
      </x:c>
      <x:c r="H75" s="22"/>
      <x:c r="I75" s="22"/>
      <x:c r="J75" s="22"/>
      <x:c r="K75" s="22"/>
      <x:c r="L75" s="22"/>
    </x:row>
    <x:row r="76">
      <x:c r="A76" s="22" t="str">
        <x:f>IF(B76="","","MNT-"&amp;TEXT(ROW()-2,"0000"))</x:f>
      </x:c>
      <x:c r="B76" s="22"/>
      <x:c r="C76" s="22"/>
      <x:c r="D76" s="22"/>
      <x:c r="E76" s="22"/>
      <x:c r="F76" s="22" t="n">
        <x:f>COUNTIFS('Маршруты'!$I$3:$I$302,B76,'Маршруты'!$K$3:$K$302,"Активен")</x:f>
        <x:v>0</x:v>
      </x:c>
      <x:c r="G76" s="22" t="str">
        <x:f>IF(B76="","",IF(E76="","Уточнить лимит",IF(F76&gt;E76,"Перегрузка",IF(F76=E76,"Лимит достигнут","Доступен"))))</x:f>
      </x:c>
      <x:c r="H76" s="22"/>
      <x:c r="I76" s="22"/>
      <x:c r="J76" s="22"/>
      <x:c r="K76" s="22"/>
      <x:c r="L76" s="22"/>
    </x:row>
    <x:row r="77">
      <x:c r="A77" s="22" t="str">
        <x:f>IF(B77="","","MNT-"&amp;TEXT(ROW()-2,"0000"))</x:f>
      </x:c>
      <x:c r="B77" s="22"/>
      <x:c r="C77" s="22"/>
      <x:c r="D77" s="22"/>
      <x:c r="E77" s="22"/>
      <x:c r="F77" s="22" t="n">
        <x:f>COUNTIFS('Маршруты'!$I$3:$I$302,B77,'Маршруты'!$K$3:$K$302,"Активен")</x:f>
        <x:v>0</x:v>
      </x:c>
      <x:c r="G77" s="22" t="str">
        <x:f>IF(B77="","",IF(E77="","Уточнить лимит",IF(F77&gt;E77,"Перегрузка",IF(F77=E77,"Лимит достигнут","Доступен"))))</x:f>
      </x:c>
      <x:c r="H77" s="22"/>
      <x:c r="I77" s="22"/>
      <x:c r="J77" s="22"/>
      <x:c r="K77" s="22"/>
      <x:c r="L77" s="22"/>
    </x:row>
    <x:row r="78">
      <x:c r="A78" s="22" t="str">
        <x:f>IF(B78="","","MNT-"&amp;TEXT(ROW()-2,"0000"))</x:f>
      </x:c>
      <x:c r="B78" s="22"/>
      <x:c r="C78" s="22"/>
      <x:c r="D78" s="22"/>
      <x:c r="E78" s="22"/>
      <x:c r="F78" s="22" t="n">
        <x:f>COUNTIFS('Маршруты'!$I$3:$I$302,B78,'Маршруты'!$K$3:$K$302,"Активен")</x:f>
        <x:v>0</x:v>
      </x:c>
      <x:c r="G78" s="22" t="str">
        <x:f>IF(B78="","",IF(E78="","Уточнить лимит",IF(F78&gt;E78,"Перегрузка",IF(F78=E78,"Лимит достигнут","Доступен"))))</x:f>
      </x:c>
      <x:c r="H78" s="22"/>
      <x:c r="I78" s="22"/>
      <x:c r="J78" s="22"/>
      <x:c r="K78" s="22"/>
      <x:c r="L78" s="22"/>
    </x:row>
    <x:row r="79">
      <x:c r="A79" s="22" t="str">
        <x:f>IF(B79="","","MNT-"&amp;TEXT(ROW()-2,"0000"))</x:f>
      </x:c>
      <x:c r="B79" s="22"/>
      <x:c r="C79" s="22"/>
      <x:c r="D79" s="22"/>
      <x:c r="E79" s="22"/>
      <x:c r="F79" s="22" t="n">
        <x:f>COUNTIFS('Маршруты'!$I$3:$I$302,B79,'Маршруты'!$K$3:$K$302,"Активен")</x:f>
        <x:v>0</x:v>
      </x:c>
      <x:c r="G79" s="22" t="str">
        <x:f>IF(B79="","",IF(E79="","Уточнить лимит",IF(F79&gt;E79,"Перегрузка",IF(F79=E79,"Лимит достигнут","Доступен"))))</x:f>
      </x:c>
      <x:c r="H79" s="22"/>
      <x:c r="I79" s="22"/>
      <x:c r="J79" s="22"/>
      <x:c r="K79" s="22"/>
      <x:c r="L79" s="22"/>
    </x:row>
    <x:row r="80">
      <x:c r="A80" s="22" t="str">
        <x:f>IF(B80="","","MNT-"&amp;TEXT(ROW()-2,"0000"))</x:f>
      </x:c>
      <x:c r="B80" s="22"/>
      <x:c r="C80" s="22"/>
      <x:c r="D80" s="22"/>
      <x:c r="E80" s="22"/>
      <x:c r="F80" s="22" t="n">
        <x:f>COUNTIFS('Маршруты'!$I$3:$I$302,B80,'Маршруты'!$K$3:$K$302,"Активен")</x:f>
        <x:v>0</x:v>
      </x:c>
      <x:c r="G80" s="22" t="str">
        <x:f>IF(B80="","",IF(E80="","Уточнить лимит",IF(F80&gt;E80,"Перегрузка",IF(F80=E80,"Лимит достигнут","Доступен"))))</x:f>
      </x:c>
      <x:c r="H80" s="22"/>
      <x:c r="I80" s="22"/>
      <x:c r="J80" s="22"/>
      <x:c r="K80" s="22"/>
      <x:c r="L80" s="22"/>
    </x:row>
    <x:row r="81">
      <x:c r="A81" s="22" t="str">
        <x:f>IF(B81="","","MNT-"&amp;TEXT(ROW()-2,"0000"))</x:f>
      </x:c>
      <x:c r="B81" s="22"/>
      <x:c r="C81" s="22"/>
      <x:c r="D81" s="22"/>
      <x:c r="E81" s="22"/>
      <x:c r="F81" s="22" t="n">
        <x:f>COUNTIFS('Маршруты'!$I$3:$I$302,B81,'Маршруты'!$K$3:$K$302,"Активен")</x:f>
        <x:v>0</x:v>
      </x:c>
      <x:c r="G81" s="22" t="str">
        <x:f>IF(B81="","",IF(E81="","Уточнить лимит",IF(F81&gt;E81,"Перегрузка",IF(F81=E81,"Лимит достигнут","Доступен"))))</x:f>
      </x:c>
      <x:c r="H81" s="22"/>
      <x:c r="I81" s="22"/>
      <x:c r="J81" s="22"/>
      <x:c r="K81" s="22"/>
      <x:c r="L81" s="22"/>
    </x:row>
    <x:row r="82">
      <x:c r="A82" s="22" t="str">
        <x:f>IF(B82="","","MNT-"&amp;TEXT(ROW()-2,"0000"))</x:f>
      </x:c>
      <x:c r="B82" s="22"/>
      <x:c r="C82" s="22"/>
      <x:c r="D82" s="22"/>
      <x:c r="E82" s="22"/>
      <x:c r="F82" s="22" t="n">
        <x:f>COUNTIFS('Маршруты'!$I$3:$I$302,B82,'Маршруты'!$K$3:$K$302,"Активен")</x:f>
        <x:v>0</x:v>
      </x:c>
      <x:c r="G82" s="22" t="str">
        <x:f>IF(B82="","",IF(E82="","Уточнить лимит",IF(F82&gt;E82,"Перегрузка",IF(F82=E82,"Лимит достигнут","Доступен"))))</x:f>
      </x:c>
      <x:c r="H82" s="22"/>
      <x:c r="I82" s="22"/>
      <x:c r="J82" s="22"/>
      <x:c r="K82" s="22"/>
      <x:c r="L82" s="22"/>
    </x:row>
    <x:row r="83">
      <x:c r="A83" s="22" t="str">
        <x:f>IF(B83="","","MNT-"&amp;TEXT(ROW()-2,"0000"))</x:f>
      </x:c>
      <x:c r="B83" s="22"/>
      <x:c r="C83" s="22"/>
      <x:c r="D83" s="22"/>
      <x:c r="E83" s="22"/>
      <x:c r="F83" s="22" t="n">
        <x:f>COUNTIFS('Маршруты'!$I$3:$I$302,B83,'Маршруты'!$K$3:$K$302,"Активен")</x:f>
        <x:v>0</x:v>
      </x:c>
      <x:c r="G83" s="22" t="str">
        <x:f>IF(B83="","",IF(E83="","Уточнить лимит",IF(F83&gt;E83,"Перегрузка",IF(F83=E83,"Лимит достигнут","Доступен"))))</x:f>
      </x:c>
      <x:c r="H83" s="22"/>
      <x:c r="I83" s="22"/>
      <x:c r="J83" s="22"/>
      <x:c r="K83" s="22"/>
      <x:c r="L83" s="22"/>
    </x:row>
    <x:row r="84">
      <x:c r="A84" s="22" t="str">
        <x:f>IF(B84="","","MNT-"&amp;TEXT(ROW()-2,"0000"))</x:f>
      </x:c>
      <x:c r="B84" s="22"/>
      <x:c r="C84" s="22"/>
      <x:c r="D84" s="22"/>
      <x:c r="E84" s="22"/>
      <x:c r="F84" s="22" t="n">
        <x:f>COUNTIFS('Маршруты'!$I$3:$I$302,B84,'Маршруты'!$K$3:$K$302,"Активен")</x:f>
        <x:v>0</x:v>
      </x:c>
      <x:c r="G84" s="22" t="str">
        <x:f>IF(B84="","",IF(E84="","Уточнить лимит",IF(F84&gt;E84,"Перегрузка",IF(F84=E84,"Лимит достигнут","Доступен"))))</x:f>
      </x:c>
      <x:c r="H84" s="22"/>
      <x:c r="I84" s="22"/>
      <x:c r="J84" s="22"/>
      <x:c r="K84" s="22"/>
      <x:c r="L84" s="22"/>
    </x:row>
    <x:row r="85">
      <x:c r="A85" s="22" t="str">
        <x:f>IF(B85="","","MNT-"&amp;TEXT(ROW()-2,"0000"))</x:f>
      </x:c>
      <x:c r="B85" s="22"/>
      <x:c r="C85" s="22"/>
      <x:c r="D85" s="22"/>
      <x:c r="E85" s="22"/>
      <x:c r="F85" s="22" t="n">
        <x:f>COUNTIFS('Маршруты'!$I$3:$I$302,B85,'Маршруты'!$K$3:$K$302,"Активен")</x:f>
        <x:v>0</x:v>
      </x:c>
      <x:c r="G85" s="22" t="str">
        <x:f>IF(B85="","",IF(E85="","Уточнить лимит",IF(F85&gt;E85,"Перегрузка",IF(F85=E85,"Лимит достигнут","Доступен"))))</x:f>
      </x:c>
      <x:c r="H85" s="22"/>
      <x:c r="I85" s="22"/>
      <x:c r="J85" s="22"/>
      <x:c r="K85" s="22"/>
      <x:c r="L85" s="22"/>
    </x:row>
    <x:row r="86">
      <x:c r="A86" s="22" t="str">
        <x:f>IF(B86="","","MNT-"&amp;TEXT(ROW()-2,"0000"))</x:f>
      </x:c>
      <x:c r="B86" s="22"/>
      <x:c r="C86" s="22"/>
      <x:c r="D86" s="22"/>
      <x:c r="E86" s="22"/>
      <x:c r="F86" s="22" t="n">
        <x:f>COUNTIFS('Маршруты'!$I$3:$I$302,B86,'Маршруты'!$K$3:$K$302,"Активен")</x:f>
        <x:v>0</x:v>
      </x:c>
      <x:c r="G86" s="22" t="str">
        <x:f>IF(B86="","",IF(E86="","Уточнить лимит",IF(F86&gt;E86,"Перегрузка",IF(F86=E86,"Лимит достигнут","Доступен"))))</x:f>
      </x:c>
      <x:c r="H86" s="22"/>
      <x:c r="I86" s="22"/>
      <x:c r="J86" s="22"/>
      <x:c r="K86" s="22"/>
      <x:c r="L86" s="22"/>
    </x:row>
    <x:row r="87">
      <x:c r="A87" s="22" t="str">
        <x:f>IF(B87="","","MNT-"&amp;TEXT(ROW()-2,"0000"))</x:f>
      </x:c>
      <x:c r="B87" s="22"/>
      <x:c r="C87" s="22"/>
      <x:c r="D87" s="22"/>
      <x:c r="E87" s="22"/>
      <x:c r="F87" s="22" t="n">
        <x:f>COUNTIFS('Маршруты'!$I$3:$I$302,B87,'Маршруты'!$K$3:$K$302,"Активен")</x:f>
        <x:v>0</x:v>
      </x:c>
      <x:c r="G87" s="22" t="str">
        <x:f>IF(B87="","",IF(E87="","Уточнить лимит",IF(F87&gt;E87,"Перегрузка",IF(F87=E87,"Лимит достигнут","Доступен"))))</x:f>
      </x:c>
      <x:c r="H87" s="22"/>
      <x:c r="I87" s="22"/>
      <x:c r="J87" s="22"/>
      <x:c r="K87" s="22"/>
      <x:c r="L87" s="22"/>
    </x:row>
    <x:row r="88">
      <x:c r="A88" s="22" t="str">
        <x:f>IF(B88="","","MNT-"&amp;TEXT(ROW()-2,"0000"))</x:f>
      </x:c>
      <x:c r="B88" s="22"/>
      <x:c r="C88" s="22"/>
      <x:c r="D88" s="22"/>
      <x:c r="E88" s="22"/>
      <x:c r="F88" s="22" t="n">
        <x:f>COUNTIFS('Маршруты'!$I$3:$I$302,B88,'Маршруты'!$K$3:$K$302,"Активен")</x:f>
        <x:v>0</x:v>
      </x:c>
      <x:c r="G88" s="22" t="str">
        <x:f>IF(B88="","",IF(E88="","Уточнить лимит",IF(F88&gt;E88,"Перегрузка",IF(F88=E88,"Лимит достигнут","Доступен"))))</x:f>
      </x:c>
      <x:c r="H88" s="22"/>
      <x:c r="I88" s="22"/>
      <x:c r="J88" s="22"/>
      <x:c r="K88" s="22"/>
      <x:c r="L88" s="22"/>
    </x:row>
    <x:row r="89">
      <x:c r="A89" s="22" t="str">
        <x:f>IF(B89="","","MNT-"&amp;TEXT(ROW()-2,"0000"))</x:f>
      </x:c>
      <x:c r="B89" s="22"/>
      <x:c r="C89" s="22"/>
      <x:c r="D89" s="22"/>
      <x:c r="E89" s="22"/>
      <x:c r="F89" s="22" t="n">
        <x:f>COUNTIFS('Маршруты'!$I$3:$I$302,B89,'Маршруты'!$K$3:$K$302,"Активен")</x:f>
        <x:v>0</x:v>
      </x:c>
      <x:c r="G89" s="22" t="str">
        <x:f>IF(B89="","",IF(E89="","Уточнить лимит",IF(F89&gt;E89,"Перегрузка",IF(F89=E89,"Лимит достигнут","Доступен"))))</x:f>
      </x:c>
      <x:c r="H89" s="22"/>
      <x:c r="I89" s="22"/>
      <x:c r="J89" s="22"/>
      <x:c r="K89" s="22"/>
      <x:c r="L89" s="22"/>
    </x:row>
    <x:row r="90">
      <x:c r="A90" s="22" t="str">
        <x:f>IF(B90="","","MNT-"&amp;TEXT(ROW()-2,"0000"))</x:f>
      </x:c>
      <x:c r="B90" s="22"/>
      <x:c r="C90" s="22"/>
      <x:c r="D90" s="22"/>
      <x:c r="E90" s="22"/>
      <x:c r="F90" s="22" t="n">
        <x:f>COUNTIFS('Маршруты'!$I$3:$I$302,B90,'Маршруты'!$K$3:$K$302,"Активен")</x:f>
        <x:v>0</x:v>
      </x:c>
      <x:c r="G90" s="22" t="str">
        <x:f>IF(B90="","",IF(E90="","Уточнить лимит",IF(F90&gt;E90,"Перегрузка",IF(F90=E90,"Лимит достигнут","Доступен"))))</x:f>
      </x:c>
      <x:c r="H90" s="22"/>
      <x:c r="I90" s="22"/>
      <x:c r="J90" s="22"/>
      <x:c r="K90" s="22"/>
      <x:c r="L90" s="22"/>
    </x:row>
    <x:row r="91">
      <x:c r="A91" s="22" t="str">
        <x:f>IF(B91="","","MNT-"&amp;TEXT(ROW()-2,"0000"))</x:f>
      </x:c>
      <x:c r="B91" s="22"/>
      <x:c r="C91" s="22"/>
      <x:c r="D91" s="22"/>
      <x:c r="E91" s="22"/>
      <x:c r="F91" s="22" t="n">
        <x:f>COUNTIFS('Маршруты'!$I$3:$I$302,B91,'Маршруты'!$K$3:$K$302,"Активен")</x:f>
        <x:v>0</x:v>
      </x:c>
      <x:c r="G91" s="22" t="str">
        <x:f>IF(B91="","",IF(E91="","Уточнить лимит",IF(F91&gt;E91,"Перегрузка",IF(F91=E91,"Лимит достигнут","Доступен"))))</x:f>
      </x:c>
      <x:c r="H91" s="22"/>
      <x:c r="I91" s="22"/>
      <x:c r="J91" s="22"/>
      <x:c r="K91" s="22"/>
      <x:c r="L91" s="22"/>
    </x:row>
    <x:row r="92">
      <x:c r="A92" s="22" t="str">
        <x:f>IF(B92="","","MNT-"&amp;TEXT(ROW()-2,"0000"))</x:f>
      </x:c>
      <x:c r="B92" s="22"/>
      <x:c r="C92" s="22"/>
      <x:c r="D92" s="22"/>
      <x:c r="E92" s="22"/>
      <x:c r="F92" s="22" t="n">
        <x:f>COUNTIFS('Маршруты'!$I$3:$I$302,B92,'Маршруты'!$K$3:$K$302,"Активен")</x:f>
        <x:v>0</x:v>
      </x:c>
      <x:c r="G92" s="22" t="str">
        <x:f>IF(B92="","",IF(E92="","Уточнить лимит",IF(F92&gt;E92,"Перегрузка",IF(F92=E92,"Лимит достигнут","Доступен"))))</x:f>
      </x:c>
      <x:c r="H92" s="22"/>
      <x:c r="I92" s="22"/>
      <x:c r="J92" s="22"/>
      <x:c r="K92" s="22"/>
      <x:c r="L92" s="22"/>
    </x:row>
    <x:row r="93">
      <x:c r="A93" s="22" t="str">
        <x:f>IF(B93="","","MNT-"&amp;TEXT(ROW()-2,"0000"))</x:f>
      </x:c>
      <x:c r="B93" s="22"/>
      <x:c r="C93" s="22"/>
      <x:c r="D93" s="22"/>
      <x:c r="E93" s="22"/>
      <x:c r="F93" s="22" t="n">
        <x:f>COUNTIFS('Маршруты'!$I$3:$I$302,B93,'Маршруты'!$K$3:$K$302,"Активен")</x:f>
        <x:v>0</x:v>
      </x:c>
      <x:c r="G93" s="22" t="str">
        <x:f>IF(B93="","",IF(E93="","Уточнить лимит",IF(F93&gt;E93,"Перегрузка",IF(F93=E93,"Лимит достигнут","Доступен"))))</x:f>
      </x:c>
      <x:c r="H93" s="22"/>
      <x:c r="I93" s="22"/>
      <x:c r="J93" s="22"/>
      <x:c r="K93" s="22"/>
      <x:c r="L93" s="22"/>
    </x:row>
    <x:row r="94">
      <x:c r="A94" s="22" t="str">
        <x:f>IF(B94="","","MNT-"&amp;TEXT(ROW()-2,"0000"))</x:f>
      </x:c>
      <x:c r="B94" s="22"/>
      <x:c r="C94" s="22"/>
      <x:c r="D94" s="22"/>
      <x:c r="E94" s="22"/>
      <x:c r="F94" s="22" t="n">
        <x:f>COUNTIFS('Маршруты'!$I$3:$I$302,B94,'Маршруты'!$K$3:$K$302,"Активен")</x:f>
        <x:v>0</x:v>
      </x:c>
      <x:c r="G94" s="22" t="str">
        <x:f>IF(B94="","",IF(E94="","Уточнить лимит",IF(F94&gt;E94,"Перегрузка",IF(F94=E94,"Лимит достигнут","Доступен"))))</x:f>
      </x:c>
      <x:c r="H94" s="22"/>
      <x:c r="I94" s="22"/>
      <x:c r="J94" s="22"/>
      <x:c r="K94" s="22"/>
      <x:c r="L94" s="22"/>
    </x:row>
    <x:row r="95">
      <x:c r="A95" s="22" t="str">
        <x:f>IF(B95="","","MNT-"&amp;TEXT(ROW()-2,"0000"))</x:f>
      </x:c>
      <x:c r="B95" s="22"/>
      <x:c r="C95" s="22"/>
      <x:c r="D95" s="22"/>
      <x:c r="E95" s="22"/>
      <x:c r="F95" s="22" t="n">
        <x:f>COUNTIFS('Маршруты'!$I$3:$I$302,B95,'Маршруты'!$K$3:$K$302,"Активен")</x:f>
        <x:v>0</x:v>
      </x:c>
      <x:c r="G95" s="22" t="str">
        <x:f>IF(B95="","",IF(E95="","Уточнить лимит",IF(F95&gt;E95,"Перегрузка",IF(F95=E95,"Лимит достигнут","Доступен"))))</x:f>
      </x:c>
      <x:c r="H95" s="22"/>
      <x:c r="I95" s="22"/>
      <x:c r="J95" s="22"/>
      <x:c r="K95" s="22"/>
      <x:c r="L95" s="22"/>
    </x:row>
    <x:row r="96">
      <x:c r="A96" s="22" t="str">
        <x:f>IF(B96="","","MNT-"&amp;TEXT(ROW()-2,"0000"))</x:f>
      </x:c>
      <x:c r="B96" s="22"/>
      <x:c r="C96" s="22"/>
      <x:c r="D96" s="22"/>
      <x:c r="E96" s="22"/>
      <x:c r="F96" s="22" t="n">
        <x:f>COUNTIFS('Маршруты'!$I$3:$I$302,B96,'Маршруты'!$K$3:$K$302,"Активен")</x:f>
        <x:v>0</x:v>
      </x:c>
      <x:c r="G96" s="22" t="str">
        <x:f>IF(B96="","",IF(E96="","Уточнить лимит",IF(F96&gt;E96,"Перегрузка",IF(F96=E96,"Лимит достигнут","Доступен"))))</x:f>
      </x:c>
      <x:c r="H96" s="22"/>
      <x:c r="I96" s="22"/>
      <x:c r="J96" s="22"/>
      <x:c r="K96" s="22"/>
      <x:c r="L96" s="22"/>
    </x:row>
    <x:row r="97">
      <x:c r="A97" s="22" t="str">
        <x:f>IF(B97="","","MNT-"&amp;TEXT(ROW()-2,"0000"))</x:f>
      </x:c>
      <x:c r="B97" s="22"/>
      <x:c r="C97" s="22"/>
      <x:c r="D97" s="22"/>
      <x:c r="E97" s="22"/>
      <x:c r="F97" s="22" t="n">
        <x:f>COUNTIFS('Маршруты'!$I$3:$I$302,B97,'Маршруты'!$K$3:$K$302,"Активен")</x:f>
        <x:v>0</x:v>
      </x:c>
      <x:c r="G97" s="22" t="str">
        <x:f>IF(B97="","",IF(E97="","Уточнить лимит",IF(F97&gt;E97,"Перегрузка",IF(F97=E97,"Лимит достигнут","Доступен"))))</x:f>
      </x:c>
      <x:c r="H97" s="22"/>
      <x:c r="I97" s="22"/>
      <x:c r="J97" s="22"/>
      <x:c r="K97" s="22"/>
      <x:c r="L97" s="22"/>
    </x:row>
    <x:row r="98">
      <x:c r="A98" s="22" t="str">
        <x:f>IF(B98="","","MNT-"&amp;TEXT(ROW()-2,"0000"))</x:f>
      </x:c>
      <x:c r="B98" s="22"/>
      <x:c r="C98" s="22"/>
      <x:c r="D98" s="22"/>
      <x:c r="E98" s="22"/>
      <x:c r="F98" s="22" t="n">
        <x:f>COUNTIFS('Маршруты'!$I$3:$I$302,B98,'Маршруты'!$K$3:$K$302,"Активен")</x:f>
        <x:v>0</x:v>
      </x:c>
      <x:c r="G98" s="22" t="str">
        <x:f>IF(B98="","",IF(E98="","Уточнить лимит",IF(F98&gt;E98,"Перегрузка",IF(F98=E98,"Лимит достигнут","Доступен"))))</x:f>
      </x:c>
      <x:c r="H98" s="22"/>
      <x:c r="I98" s="22"/>
      <x:c r="J98" s="22"/>
      <x:c r="K98" s="22"/>
      <x:c r="L98" s="22"/>
    </x:row>
    <x:row r="99">
      <x:c r="A99" s="22" t="str">
        <x:f>IF(B99="","","MNT-"&amp;TEXT(ROW()-2,"0000"))</x:f>
      </x:c>
      <x:c r="B99" s="22"/>
      <x:c r="C99" s="22"/>
      <x:c r="D99" s="22"/>
      <x:c r="E99" s="22"/>
      <x:c r="F99" s="22" t="n">
        <x:f>COUNTIFS('Маршруты'!$I$3:$I$302,B99,'Маршруты'!$K$3:$K$302,"Активен")</x:f>
        <x:v>0</x:v>
      </x:c>
      <x:c r="G99" s="22" t="str">
        <x:f>IF(B99="","",IF(E99="","Уточнить лимит",IF(F99&gt;E99,"Перегрузка",IF(F99=E99,"Лимит достигнут","Доступен"))))</x:f>
      </x:c>
      <x:c r="H99" s="22"/>
      <x:c r="I99" s="22"/>
      <x:c r="J99" s="22"/>
      <x:c r="K99" s="22"/>
      <x:c r="L99" s="22"/>
    </x:row>
    <x:row r="100">
      <x:c r="A100" s="22" t="str">
        <x:f>IF(B100="","","MNT-"&amp;TEXT(ROW()-2,"0000"))</x:f>
      </x:c>
      <x:c r="B100" s="22"/>
      <x:c r="C100" s="22"/>
      <x:c r="D100" s="22"/>
      <x:c r="E100" s="22"/>
      <x:c r="F100" s="22" t="n">
        <x:f>COUNTIFS('Маршруты'!$I$3:$I$302,B100,'Маршруты'!$K$3:$K$302,"Активен")</x:f>
        <x:v>0</x:v>
      </x:c>
      <x:c r="G100" s="22" t="str">
        <x:f>IF(B100="","",IF(E100="","Уточнить лимит",IF(F100&gt;E100,"Перегрузка",IF(F100=E100,"Лимит достигнут","Доступен"))))</x:f>
      </x:c>
      <x:c r="H100" s="22"/>
      <x:c r="I100" s="22"/>
      <x:c r="J100" s="22"/>
      <x:c r="K100" s="22"/>
      <x:c r="L100" s="22"/>
    </x:row>
    <x:row r="101">
      <x:c r="A101" s="22" t="str">
        <x:f>IF(B101="","","MNT-"&amp;TEXT(ROW()-2,"0000"))</x:f>
      </x:c>
      <x:c r="B101" s="22"/>
      <x:c r="C101" s="22"/>
      <x:c r="D101" s="22"/>
      <x:c r="E101" s="22"/>
      <x:c r="F101" s="22" t="n">
        <x:f>COUNTIFS('Маршруты'!$I$3:$I$302,B101,'Маршруты'!$K$3:$K$302,"Активен")</x:f>
        <x:v>0</x:v>
      </x:c>
      <x:c r="G101" s="22" t="str">
        <x:f>IF(B101="","",IF(E101="","Уточнить лимит",IF(F101&gt;E101,"Перегрузка",IF(F101=E101,"Лимит достигнут","Доступен"))))</x:f>
      </x:c>
      <x:c r="H101" s="22"/>
      <x:c r="I101" s="22"/>
      <x:c r="J101" s="22"/>
      <x:c r="K101" s="22"/>
      <x:c r="L101" s="22"/>
    </x:row>
    <x:row r="102">
      <x:c r="A102" s="22" t="str">
        <x:f>IF(B102="","","MNT-"&amp;TEXT(ROW()-2,"0000"))</x:f>
      </x:c>
      <x:c r="B102" s="22"/>
      <x:c r="C102" s="22"/>
      <x:c r="D102" s="22"/>
      <x:c r="E102" s="22"/>
      <x:c r="F102" s="22" t="n">
        <x:f>COUNTIFS('Маршруты'!$I$3:$I$302,B102,'Маршруты'!$K$3:$K$302,"Активен")</x:f>
        <x:v>0</x:v>
      </x:c>
      <x:c r="G102" s="22" t="str">
        <x:f>IF(B102="","",IF(E102="","Уточнить лимит",IF(F102&gt;E102,"Перегрузка",IF(F102=E102,"Лимит достигнут","Доступен"))))</x:f>
      </x:c>
      <x:c r="H102" s="22"/>
      <x:c r="I102" s="22"/>
      <x:c r="J102" s="22"/>
      <x:c r="K102" s="22"/>
      <x:c r="L102" s="22"/>
    </x:row>
  </x:sheetData>
  <x:mergeCells>
    <x:mergeCell ref="A1:L1"/>
  </x:mergeCells>
  <x:conditionalFormatting sqref="G3:G102">
    <x:cfRule type="expression" dxfId="18" priority="1">
      <x:formula>G3="Перегрузка"</x:formula>
    </x:cfRule>
    <x:cfRule type="expression" dxfId="19" priority="2">
      <x:formula>G3="Лимит достигнут"</x:formula>
    </x:cfRule>
    <x:cfRule type="expression" dxfId="20" priority="3">
      <x:formula>G3="Доступен"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dbc280fb45468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9" hidden="0" customWidth="1"/>
    <x:col min="5" max="5" width="32" hidden="0" customWidth="1"/>
    <x:col min="6" max="6" width="16" hidden="0" customWidth="1"/>
    <x:col min="7" max="7" width="22" hidden="0" customWidth="1"/>
    <x:col min="8" max="8" width="12" hidden="0" customWidth="1"/>
    <x:col min="9" max="9" width="28" hidden="0" customWidth="1"/>
    <x:col min="10" max="10" width="16" hidden="0" customWidth="1"/>
    <x:col min="11" max="11" width="24" hidden="0" customWidth="1"/>
    <x:col min="12" max="12" width="16" hidden="0" customWidth="1"/>
    <x:col min="13" max="13" width="16" hidden="0" customWidth="1"/>
    <x:col min="14" max="14" width="20" hidden="0" customWidth="1"/>
    <x:col min="15" max="15" width="30" hidden="0" customWidth="1"/>
    <x:col min="16" max="16" width="30" hidden="0" customWidth="1"/>
    <x:col min="17" max="17" width="30" hidden="0" customWidth="1"/>
  </x:cols>
  <x:sheetData>
    <x:row r="1" ht="30" customHeight="1">
      <x:c r="A1" s="16" t="str">
        <x:v>РЕЗУЛЬТАТЫ И ПРОДУКТЫ: качество, самостоятельность, следующий шаг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</x:row>
    <x:row r="2" ht="32" customHeight="1">
      <x:c r="A2" s="6" t="str">
        <x:v>ID результата</x:v>
      </x:c>
      <x:c r="B2" s="6" t="str">
        <x:v>ID маршрута</x:v>
      </x:c>
      <x:c r="C2" s="6" t="str">
        <x:v>Ф.И.О.</x:v>
      </x:c>
      <x:c r="D2" s="6" t="str">
        <x:v>Класс</x:v>
      </x:c>
      <x:c r="E2" s="6" t="str">
        <x:v>Продукт / название</x:v>
      </x:c>
      <x:c r="F2" s="6" t="str">
        <x:v>Направление</x:v>
      </x:c>
      <x:c r="G2" s="6" t="str">
        <x:v>Формат представления</x:v>
      </x:c>
      <x:c r="H2" s="6" t="str">
        <x:v>Дата</x:v>
      </x:c>
      <x:c r="I2" s="6" t="str">
        <x:v>Внешнее событие</x:v>
      </x:c>
      <x:c r="J2" s="6" t="str">
        <x:v>Уровень</x:v>
      </x:c>
      <x:c r="K2" s="6" t="str">
        <x:v>Результат / статус</x:v>
      </x:c>
      <x:c r="L2" s="6" t="str">
        <x:v>Экспертная оценка 0–24</x:v>
      </x:c>
      <x:c r="M2" s="6" t="str">
        <x:v>Самостоятельность 0–3</x:v>
      </x:c>
      <x:c r="N2" s="6" t="str">
        <x:v>Завершение маршрута</x:v>
      </x:c>
      <x:c r="O2" s="6" t="str">
        <x:v>Следующий шаг</x:v>
      </x:c>
      <x:c r="P2" s="6" t="str">
        <x:v>Ссылка / публикация</x:v>
      </x:c>
      <x:c r="Q2" s="6" t="str">
        <x:v>Примечание</x:v>
      </x:c>
    </x:row>
    <x:row r="3">
      <x:c r="A3" s="22" t="str">
        <x:f>IF(E3="","","RES-"&amp;TEXT(ROW()-2,"0000"))</x:f>
      </x:c>
      <x:c r="B3" s="22"/>
      <x:c r="C3" s="22"/>
      <x:c r="D3" s="22"/>
      <x:c r="E3" s="22"/>
      <x:c r="F3" s="22"/>
      <x:c r="G3" s="22"/>
      <x:c r="H3" s="26"/>
      <x:c r="I3" s="22"/>
      <x:c r="J3" s="22"/>
      <x:c r="K3" s="22"/>
      <x:c r="L3" s="22"/>
      <x:c r="M3" s="22"/>
      <x:c r="N3" s="22"/>
      <x:c r="O3" s="22"/>
      <x:c r="P3" s="22"/>
      <x:c r="Q3" s="22"/>
    </x:row>
    <x:row r="4">
      <x:c r="A4" s="22" t="str">
        <x:f>IF(E4="","","RES-"&amp;TEXT(ROW()-2,"0000"))</x:f>
      </x:c>
      <x:c r="B4" s="22"/>
      <x:c r="C4" s="22"/>
      <x:c r="D4" s="22"/>
      <x:c r="E4" s="22"/>
      <x:c r="F4" s="22"/>
      <x:c r="G4" s="22"/>
      <x:c r="H4" s="26"/>
      <x:c r="I4" s="22"/>
      <x:c r="J4" s="22"/>
      <x:c r="K4" s="22"/>
      <x:c r="L4" s="22"/>
      <x:c r="M4" s="22"/>
      <x:c r="N4" s="22"/>
      <x:c r="O4" s="22"/>
      <x:c r="P4" s="22"/>
      <x:c r="Q4" s="22"/>
    </x:row>
    <x:row r="5">
      <x:c r="A5" s="22" t="str">
        <x:f>IF(E5="","","RES-"&amp;TEXT(ROW()-2,"0000"))</x:f>
      </x:c>
      <x:c r="B5" s="22"/>
      <x:c r="C5" s="22"/>
      <x:c r="D5" s="22"/>
      <x:c r="E5" s="22"/>
      <x:c r="F5" s="22"/>
      <x:c r="G5" s="22"/>
      <x:c r="H5" s="26"/>
      <x:c r="I5" s="22"/>
      <x:c r="J5" s="22"/>
      <x:c r="K5" s="22"/>
      <x:c r="L5" s="22"/>
      <x:c r="M5" s="22"/>
      <x:c r="N5" s="22"/>
      <x:c r="O5" s="22"/>
      <x:c r="P5" s="22"/>
      <x:c r="Q5" s="22"/>
    </x:row>
    <x:row r="6">
      <x:c r="A6" s="22" t="str">
        <x:f>IF(E6="","","RES-"&amp;TEXT(ROW()-2,"0000"))</x:f>
      </x:c>
      <x:c r="B6" s="22"/>
      <x:c r="C6" s="22"/>
      <x:c r="D6" s="22"/>
      <x:c r="E6" s="22"/>
      <x:c r="F6" s="22"/>
      <x:c r="G6" s="22"/>
      <x:c r="H6" s="26"/>
      <x:c r="I6" s="22"/>
      <x:c r="J6" s="22"/>
      <x:c r="K6" s="22"/>
      <x:c r="L6" s="22"/>
      <x:c r="M6" s="22"/>
      <x:c r="N6" s="22"/>
      <x:c r="O6" s="22"/>
      <x:c r="P6" s="22"/>
      <x:c r="Q6" s="22"/>
    </x:row>
    <x:row r="7">
      <x:c r="A7" s="22" t="str">
        <x:f>IF(E7="","","RES-"&amp;TEXT(ROW()-2,"0000"))</x:f>
      </x:c>
      <x:c r="B7" s="22"/>
      <x:c r="C7" s="22"/>
      <x:c r="D7" s="22"/>
      <x:c r="E7" s="22"/>
      <x:c r="F7" s="22"/>
      <x:c r="G7" s="22"/>
      <x:c r="H7" s="26"/>
      <x:c r="I7" s="22"/>
      <x:c r="J7" s="22"/>
      <x:c r="K7" s="22"/>
      <x:c r="L7" s="22"/>
      <x:c r="M7" s="22"/>
      <x:c r="N7" s="22"/>
      <x:c r="O7" s="22"/>
      <x:c r="P7" s="22"/>
      <x:c r="Q7" s="22"/>
    </x:row>
    <x:row r="8">
      <x:c r="A8" s="22" t="str">
        <x:f>IF(E8="","","RES-"&amp;TEXT(ROW()-2,"0000"))</x:f>
      </x:c>
      <x:c r="B8" s="22"/>
      <x:c r="C8" s="22"/>
      <x:c r="D8" s="22"/>
      <x:c r="E8" s="22"/>
      <x:c r="F8" s="22"/>
      <x:c r="G8" s="22"/>
      <x:c r="H8" s="26"/>
      <x:c r="I8" s="22"/>
      <x:c r="J8" s="22"/>
      <x:c r="K8" s="22"/>
      <x:c r="L8" s="22"/>
      <x:c r="M8" s="22"/>
      <x:c r="N8" s="22"/>
      <x:c r="O8" s="22"/>
      <x:c r="P8" s="22"/>
      <x:c r="Q8" s="22"/>
    </x:row>
    <x:row r="9">
      <x:c r="A9" s="22" t="str">
        <x:f>IF(E9="","","RES-"&amp;TEXT(ROW()-2,"0000"))</x:f>
      </x:c>
      <x:c r="B9" s="22"/>
      <x:c r="C9" s="22"/>
      <x:c r="D9" s="22"/>
      <x:c r="E9" s="22"/>
      <x:c r="F9" s="22"/>
      <x:c r="G9" s="22"/>
      <x:c r="H9" s="26"/>
      <x:c r="I9" s="22"/>
      <x:c r="J9" s="22"/>
      <x:c r="K9" s="22"/>
      <x:c r="L9" s="22"/>
      <x:c r="M9" s="22"/>
      <x:c r="N9" s="22"/>
      <x:c r="O9" s="22"/>
      <x:c r="P9" s="22"/>
      <x:c r="Q9" s="22"/>
    </x:row>
    <x:row r="10">
      <x:c r="A10" s="22" t="str">
        <x:f>IF(E10="","","RES-"&amp;TEXT(ROW()-2,"0000"))</x:f>
      </x:c>
      <x:c r="B10" s="22"/>
      <x:c r="C10" s="22"/>
      <x:c r="D10" s="22"/>
      <x:c r="E10" s="22"/>
      <x:c r="F10" s="22"/>
      <x:c r="G10" s="22"/>
      <x:c r="H10" s="26"/>
      <x:c r="I10" s="22"/>
      <x:c r="J10" s="22"/>
      <x:c r="K10" s="22"/>
      <x:c r="L10" s="22"/>
      <x:c r="M10" s="22"/>
      <x:c r="N10" s="22"/>
      <x:c r="O10" s="22"/>
      <x:c r="P10" s="22"/>
      <x:c r="Q10" s="22"/>
    </x:row>
    <x:row r="11">
      <x:c r="A11" s="22" t="str">
        <x:f>IF(E11="","","RES-"&amp;TEXT(ROW()-2,"0000"))</x:f>
      </x:c>
      <x:c r="B11" s="22"/>
      <x:c r="C11" s="22"/>
      <x:c r="D11" s="22"/>
      <x:c r="E11" s="22"/>
      <x:c r="F11" s="22"/>
      <x:c r="G11" s="22"/>
      <x:c r="H11" s="26"/>
      <x:c r="I11" s="22"/>
      <x:c r="J11" s="22"/>
      <x:c r="K11" s="22"/>
      <x:c r="L11" s="22"/>
      <x:c r="M11" s="22"/>
      <x:c r="N11" s="22"/>
      <x:c r="O11" s="22"/>
      <x:c r="P11" s="22"/>
      <x:c r="Q11" s="22"/>
    </x:row>
    <x:row r="12">
      <x:c r="A12" s="22" t="str">
        <x:f>IF(E12="","","RES-"&amp;TEXT(ROW()-2,"0000"))</x:f>
      </x:c>
      <x:c r="B12" s="22"/>
      <x:c r="C12" s="22"/>
      <x:c r="D12" s="22"/>
      <x:c r="E12" s="22"/>
      <x:c r="F12" s="22"/>
      <x:c r="G12" s="22"/>
      <x:c r="H12" s="26"/>
      <x:c r="I12" s="22"/>
      <x:c r="J12" s="22"/>
      <x:c r="K12" s="22"/>
      <x:c r="L12" s="22"/>
      <x:c r="M12" s="22"/>
      <x:c r="N12" s="22"/>
      <x:c r="O12" s="22"/>
      <x:c r="P12" s="22"/>
      <x:c r="Q12" s="22"/>
    </x:row>
    <x:row r="13">
      <x:c r="A13" s="22" t="str">
        <x:f>IF(E13="","","RES-"&amp;TEXT(ROW()-2,"0000"))</x:f>
      </x:c>
      <x:c r="B13" s="22"/>
      <x:c r="C13" s="22"/>
      <x:c r="D13" s="22"/>
      <x:c r="E13" s="22"/>
      <x:c r="F13" s="22"/>
      <x:c r="G13" s="22"/>
      <x:c r="H13" s="26"/>
      <x:c r="I13" s="22"/>
      <x:c r="J13" s="22"/>
      <x:c r="K13" s="22"/>
      <x:c r="L13" s="22"/>
      <x:c r="M13" s="22"/>
      <x:c r="N13" s="22"/>
      <x:c r="O13" s="22"/>
      <x:c r="P13" s="22"/>
      <x:c r="Q13" s="22"/>
    </x:row>
    <x:row r="14">
      <x:c r="A14" s="22" t="str">
        <x:f>IF(E14="","","RES-"&amp;TEXT(ROW()-2,"0000"))</x:f>
      </x:c>
      <x:c r="B14" s="22"/>
      <x:c r="C14" s="22"/>
      <x:c r="D14" s="22"/>
      <x:c r="E14" s="22"/>
      <x:c r="F14" s="22"/>
      <x:c r="G14" s="22"/>
      <x:c r="H14" s="26"/>
      <x:c r="I14" s="22"/>
      <x:c r="J14" s="22"/>
      <x:c r="K14" s="22"/>
      <x:c r="L14" s="22"/>
      <x:c r="M14" s="22"/>
      <x:c r="N14" s="22"/>
      <x:c r="O14" s="22"/>
      <x:c r="P14" s="22"/>
      <x:c r="Q14" s="22"/>
    </x:row>
    <x:row r="15">
      <x:c r="A15" s="22" t="str">
        <x:f>IF(E15="","","RES-"&amp;TEXT(ROW()-2,"0000"))</x:f>
      </x:c>
      <x:c r="B15" s="22"/>
      <x:c r="C15" s="22"/>
      <x:c r="D15" s="22"/>
      <x:c r="E15" s="22"/>
      <x:c r="F15" s="22"/>
      <x:c r="G15" s="22"/>
      <x:c r="H15" s="26"/>
      <x:c r="I15" s="22"/>
      <x:c r="J15" s="22"/>
      <x:c r="K15" s="22"/>
      <x:c r="L15" s="22"/>
      <x:c r="M15" s="22"/>
      <x:c r="N15" s="22"/>
      <x:c r="O15" s="22"/>
      <x:c r="P15" s="22"/>
      <x:c r="Q15" s="22"/>
    </x:row>
    <x:row r="16">
      <x:c r="A16" s="22" t="str">
        <x:f>IF(E16="","","RES-"&amp;TEXT(ROW()-2,"0000"))</x:f>
      </x:c>
      <x:c r="B16" s="22"/>
      <x:c r="C16" s="22"/>
      <x:c r="D16" s="22"/>
      <x:c r="E16" s="22"/>
      <x:c r="F16" s="22"/>
      <x:c r="G16" s="22"/>
      <x:c r="H16" s="26"/>
      <x:c r="I16" s="22"/>
      <x:c r="J16" s="22"/>
      <x:c r="K16" s="22"/>
      <x:c r="L16" s="22"/>
      <x:c r="M16" s="22"/>
      <x:c r="N16" s="22"/>
      <x:c r="O16" s="22"/>
      <x:c r="P16" s="22"/>
      <x:c r="Q16" s="22"/>
    </x:row>
    <x:row r="17">
      <x:c r="A17" s="22" t="str">
        <x:f>IF(E17="","","RES-"&amp;TEXT(ROW()-2,"0000"))</x:f>
      </x:c>
      <x:c r="B17" s="22"/>
      <x:c r="C17" s="22"/>
      <x:c r="D17" s="22"/>
      <x:c r="E17" s="22"/>
      <x:c r="F17" s="22"/>
      <x:c r="G17" s="22"/>
      <x:c r="H17" s="26"/>
      <x:c r="I17" s="22"/>
      <x:c r="J17" s="22"/>
      <x:c r="K17" s="22"/>
      <x:c r="L17" s="22"/>
      <x:c r="M17" s="22"/>
      <x:c r="N17" s="22"/>
      <x:c r="O17" s="22"/>
      <x:c r="P17" s="22"/>
      <x:c r="Q17" s="22"/>
    </x:row>
    <x:row r="18">
      <x:c r="A18" s="22" t="str">
        <x:f>IF(E18="","","RES-"&amp;TEXT(ROW()-2,"0000"))</x:f>
      </x:c>
      <x:c r="B18" s="22"/>
      <x:c r="C18" s="22"/>
      <x:c r="D18" s="22"/>
      <x:c r="E18" s="22"/>
      <x:c r="F18" s="22"/>
      <x:c r="G18" s="22"/>
      <x:c r="H18" s="26"/>
      <x:c r="I18" s="22"/>
      <x:c r="J18" s="22"/>
      <x:c r="K18" s="22"/>
      <x:c r="L18" s="22"/>
      <x:c r="M18" s="22"/>
      <x:c r="N18" s="22"/>
      <x:c r="O18" s="22"/>
      <x:c r="P18" s="22"/>
      <x:c r="Q18" s="22"/>
    </x:row>
    <x:row r="19">
      <x:c r="A19" s="22" t="str">
        <x:f>IF(E19="","","RES-"&amp;TEXT(ROW()-2,"0000"))</x:f>
      </x:c>
      <x:c r="B19" s="22"/>
      <x:c r="C19" s="22"/>
      <x:c r="D19" s="22"/>
      <x:c r="E19" s="22"/>
      <x:c r="F19" s="22"/>
      <x:c r="G19" s="22"/>
      <x:c r="H19" s="26"/>
      <x:c r="I19" s="22"/>
      <x:c r="J19" s="22"/>
      <x:c r="K19" s="22"/>
      <x:c r="L19" s="22"/>
      <x:c r="M19" s="22"/>
      <x:c r="N19" s="22"/>
      <x:c r="O19" s="22"/>
      <x:c r="P19" s="22"/>
      <x:c r="Q19" s="22"/>
    </x:row>
    <x:row r="20">
      <x:c r="A20" s="22" t="str">
        <x:f>IF(E20="","","RES-"&amp;TEXT(ROW()-2,"0000"))</x:f>
      </x:c>
      <x:c r="B20" s="22"/>
      <x:c r="C20" s="22"/>
      <x:c r="D20" s="22"/>
      <x:c r="E20" s="22"/>
      <x:c r="F20" s="22"/>
      <x:c r="G20" s="22"/>
      <x:c r="H20" s="26"/>
      <x:c r="I20" s="22"/>
      <x:c r="J20" s="22"/>
      <x:c r="K20" s="22"/>
      <x:c r="L20" s="22"/>
      <x:c r="M20" s="22"/>
      <x:c r="N20" s="22"/>
      <x:c r="O20" s="22"/>
      <x:c r="P20" s="22"/>
      <x:c r="Q20" s="22"/>
    </x:row>
    <x:row r="21">
      <x:c r="A21" s="22" t="str">
        <x:f>IF(E21="","","RES-"&amp;TEXT(ROW()-2,"0000"))</x:f>
      </x:c>
      <x:c r="B21" s="22"/>
      <x:c r="C21" s="22"/>
      <x:c r="D21" s="22"/>
      <x:c r="E21" s="22"/>
      <x:c r="F21" s="22"/>
      <x:c r="G21" s="22"/>
      <x:c r="H21" s="26"/>
      <x:c r="I21" s="22"/>
      <x:c r="J21" s="22"/>
      <x:c r="K21" s="22"/>
      <x:c r="L21" s="22"/>
      <x:c r="M21" s="22"/>
      <x:c r="N21" s="22"/>
      <x:c r="O21" s="22"/>
      <x:c r="P21" s="22"/>
      <x:c r="Q21" s="22"/>
    </x:row>
    <x:row r="22">
      <x:c r="A22" s="22" t="str">
        <x:f>IF(E22="","","RES-"&amp;TEXT(ROW()-2,"0000"))</x:f>
      </x:c>
      <x:c r="B22" s="22"/>
      <x:c r="C22" s="22"/>
      <x:c r="D22" s="22"/>
      <x:c r="E22" s="22"/>
      <x:c r="F22" s="22"/>
      <x:c r="G22" s="22"/>
      <x:c r="H22" s="26"/>
      <x:c r="I22" s="22"/>
      <x:c r="J22" s="22"/>
      <x:c r="K22" s="22"/>
      <x:c r="L22" s="22"/>
      <x:c r="M22" s="22"/>
      <x:c r="N22" s="22"/>
      <x:c r="O22" s="22"/>
      <x:c r="P22" s="22"/>
      <x:c r="Q22" s="22"/>
    </x:row>
    <x:row r="23">
      <x:c r="A23" s="22" t="str">
        <x:f>IF(E23="","","RES-"&amp;TEXT(ROW()-2,"0000"))</x:f>
      </x:c>
      <x:c r="B23" s="22"/>
      <x:c r="C23" s="22"/>
      <x:c r="D23" s="22"/>
      <x:c r="E23" s="22"/>
      <x:c r="F23" s="22"/>
      <x:c r="G23" s="22"/>
      <x:c r="H23" s="26"/>
      <x:c r="I23" s="22"/>
      <x:c r="J23" s="22"/>
      <x:c r="K23" s="22"/>
      <x:c r="L23" s="22"/>
      <x:c r="M23" s="22"/>
      <x:c r="N23" s="22"/>
      <x:c r="O23" s="22"/>
      <x:c r="P23" s="22"/>
      <x:c r="Q23" s="22"/>
    </x:row>
    <x:row r="24">
      <x:c r="A24" s="22" t="str">
        <x:f>IF(E24="","","RES-"&amp;TEXT(ROW()-2,"0000"))</x:f>
      </x:c>
      <x:c r="B24" s="22"/>
      <x:c r="C24" s="22"/>
      <x:c r="D24" s="22"/>
      <x:c r="E24" s="22"/>
      <x:c r="F24" s="22"/>
      <x:c r="G24" s="22"/>
      <x:c r="H24" s="26"/>
      <x:c r="I24" s="22"/>
      <x:c r="J24" s="22"/>
      <x:c r="K24" s="22"/>
      <x:c r="L24" s="22"/>
      <x:c r="M24" s="22"/>
      <x:c r="N24" s="22"/>
      <x:c r="O24" s="22"/>
      <x:c r="P24" s="22"/>
      <x:c r="Q24" s="22"/>
    </x:row>
    <x:row r="25">
      <x:c r="A25" s="22" t="str">
        <x:f>IF(E25="","","RES-"&amp;TEXT(ROW()-2,"0000"))</x:f>
      </x:c>
      <x:c r="B25" s="22"/>
      <x:c r="C25" s="22"/>
      <x:c r="D25" s="22"/>
      <x:c r="E25" s="22"/>
      <x:c r="F25" s="22"/>
      <x:c r="G25" s="22"/>
      <x:c r="H25" s="26"/>
      <x:c r="I25" s="22"/>
      <x:c r="J25" s="22"/>
      <x:c r="K25" s="22"/>
      <x:c r="L25" s="22"/>
      <x:c r="M25" s="22"/>
      <x:c r="N25" s="22"/>
      <x:c r="O25" s="22"/>
      <x:c r="P25" s="22"/>
      <x:c r="Q25" s="22"/>
    </x:row>
    <x:row r="26">
      <x:c r="A26" s="22" t="str">
        <x:f>IF(E26="","","RES-"&amp;TEXT(ROW()-2,"0000"))</x:f>
      </x:c>
      <x:c r="B26" s="22"/>
      <x:c r="C26" s="22"/>
      <x:c r="D26" s="22"/>
      <x:c r="E26" s="22"/>
      <x:c r="F26" s="22"/>
      <x:c r="G26" s="22"/>
      <x:c r="H26" s="26"/>
      <x:c r="I26" s="22"/>
      <x:c r="J26" s="22"/>
      <x:c r="K26" s="22"/>
      <x:c r="L26" s="22"/>
      <x:c r="M26" s="22"/>
      <x:c r="N26" s="22"/>
      <x:c r="O26" s="22"/>
      <x:c r="P26" s="22"/>
      <x:c r="Q26" s="22"/>
    </x:row>
    <x:row r="27">
      <x:c r="A27" s="22" t="str">
        <x:f>IF(E27="","","RES-"&amp;TEXT(ROW()-2,"0000"))</x:f>
      </x:c>
      <x:c r="B27" s="22"/>
      <x:c r="C27" s="22"/>
      <x:c r="D27" s="22"/>
      <x:c r="E27" s="22"/>
      <x:c r="F27" s="22"/>
      <x:c r="G27" s="22"/>
      <x:c r="H27" s="26"/>
      <x:c r="I27" s="22"/>
      <x:c r="J27" s="22"/>
      <x:c r="K27" s="22"/>
      <x:c r="L27" s="22"/>
      <x:c r="M27" s="22"/>
      <x:c r="N27" s="22"/>
      <x:c r="O27" s="22"/>
      <x:c r="P27" s="22"/>
      <x:c r="Q27" s="22"/>
    </x:row>
    <x:row r="28">
      <x:c r="A28" s="22" t="str">
        <x:f>IF(E28="","","RES-"&amp;TEXT(ROW()-2,"0000"))</x:f>
      </x:c>
      <x:c r="B28" s="22"/>
      <x:c r="C28" s="22"/>
      <x:c r="D28" s="22"/>
      <x:c r="E28" s="22"/>
      <x:c r="F28" s="22"/>
      <x:c r="G28" s="22"/>
      <x:c r="H28" s="26"/>
      <x:c r="I28" s="22"/>
      <x:c r="J28" s="22"/>
      <x:c r="K28" s="22"/>
      <x:c r="L28" s="22"/>
      <x:c r="M28" s="22"/>
      <x:c r="N28" s="22"/>
      <x:c r="O28" s="22"/>
      <x:c r="P28" s="22"/>
      <x:c r="Q28" s="22"/>
    </x:row>
    <x:row r="29">
      <x:c r="A29" s="22" t="str">
        <x:f>IF(E29="","","RES-"&amp;TEXT(ROW()-2,"0000"))</x:f>
      </x:c>
      <x:c r="B29" s="22"/>
      <x:c r="C29" s="22"/>
      <x:c r="D29" s="22"/>
      <x:c r="E29" s="22"/>
      <x:c r="F29" s="22"/>
      <x:c r="G29" s="22"/>
      <x:c r="H29" s="26"/>
      <x:c r="I29" s="22"/>
      <x:c r="J29" s="22"/>
      <x:c r="K29" s="22"/>
      <x:c r="L29" s="22"/>
      <x:c r="M29" s="22"/>
      <x:c r="N29" s="22"/>
      <x:c r="O29" s="22"/>
      <x:c r="P29" s="22"/>
      <x:c r="Q29" s="22"/>
    </x:row>
    <x:row r="30">
      <x:c r="A30" s="22" t="str">
        <x:f>IF(E30="","","RES-"&amp;TEXT(ROW()-2,"0000"))</x:f>
      </x:c>
      <x:c r="B30" s="22"/>
      <x:c r="C30" s="22"/>
      <x:c r="D30" s="22"/>
      <x:c r="E30" s="22"/>
      <x:c r="F30" s="22"/>
      <x:c r="G30" s="22"/>
      <x:c r="H30" s="26"/>
      <x:c r="I30" s="22"/>
      <x:c r="J30" s="22"/>
      <x:c r="K30" s="22"/>
      <x:c r="L30" s="22"/>
      <x:c r="M30" s="22"/>
      <x:c r="N30" s="22"/>
      <x:c r="O30" s="22"/>
      <x:c r="P30" s="22"/>
      <x:c r="Q30" s="22"/>
    </x:row>
    <x:row r="31">
      <x:c r="A31" s="22" t="str">
        <x:f>IF(E31="","","RES-"&amp;TEXT(ROW()-2,"0000"))</x:f>
      </x:c>
      <x:c r="B31" s="22"/>
      <x:c r="C31" s="22"/>
      <x:c r="D31" s="22"/>
      <x:c r="E31" s="22"/>
      <x:c r="F31" s="22"/>
      <x:c r="G31" s="22"/>
      <x:c r="H31" s="26"/>
      <x:c r="I31" s="22"/>
      <x:c r="J31" s="22"/>
      <x:c r="K31" s="22"/>
      <x:c r="L31" s="22"/>
      <x:c r="M31" s="22"/>
      <x:c r="N31" s="22"/>
      <x:c r="O31" s="22"/>
      <x:c r="P31" s="22"/>
      <x:c r="Q31" s="22"/>
    </x:row>
    <x:row r="32">
      <x:c r="A32" s="22" t="str">
        <x:f>IF(E32="","","RES-"&amp;TEXT(ROW()-2,"0000"))</x:f>
      </x:c>
      <x:c r="B32" s="22"/>
      <x:c r="C32" s="22"/>
      <x:c r="D32" s="22"/>
      <x:c r="E32" s="22"/>
      <x:c r="F32" s="22"/>
      <x:c r="G32" s="22"/>
      <x:c r="H32" s="26"/>
      <x:c r="I32" s="22"/>
      <x:c r="J32" s="22"/>
      <x:c r="K32" s="22"/>
      <x:c r="L32" s="22"/>
      <x:c r="M32" s="22"/>
      <x:c r="N32" s="22"/>
      <x:c r="O32" s="22"/>
      <x:c r="P32" s="22"/>
      <x:c r="Q32" s="22"/>
    </x:row>
    <x:row r="33">
      <x:c r="A33" s="22" t="str">
        <x:f>IF(E33="","","RES-"&amp;TEXT(ROW()-2,"0000"))</x:f>
      </x:c>
      <x:c r="B33" s="22"/>
      <x:c r="C33" s="22"/>
      <x:c r="D33" s="22"/>
      <x:c r="E33" s="22"/>
      <x:c r="F33" s="22"/>
      <x:c r="G33" s="22"/>
      <x:c r="H33" s="26"/>
      <x:c r="I33" s="22"/>
      <x:c r="J33" s="22"/>
      <x:c r="K33" s="22"/>
      <x:c r="L33" s="22"/>
      <x:c r="M33" s="22"/>
      <x:c r="N33" s="22"/>
      <x:c r="O33" s="22"/>
      <x:c r="P33" s="22"/>
      <x:c r="Q33" s="22"/>
    </x:row>
    <x:row r="34">
      <x:c r="A34" s="22" t="str">
        <x:f>IF(E34="","","RES-"&amp;TEXT(ROW()-2,"0000"))</x:f>
      </x:c>
      <x:c r="B34" s="22"/>
      <x:c r="C34" s="22"/>
      <x:c r="D34" s="22"/>
      <x:c r="E34" s="22"/>
      <x:c r="F34" s="22"/>
      <x:c r="G34" s="22"/>
      <x:c r="H34" s="26"/>
      <x:c r="I34" s="22"/>
      <x:c r="J34" s="22"/>
      <x:c r="K34" s="22"/>
      <x:c r="L34" s="22"/>
      <x:c r="M34" s="22"/>
      <x:c r="N34" s="22"/>
      <x:c r="O34" s="22"/>
      <x:c r="P34" s="22"/>
      <x:c r="Q34" s="22"/>
    </x:row>
    <x:row r="35">
      <x:c r="A35" s="22" t="str">
        <x:f>IF(E35="","","RES-"&amp;TEXT(ROW()-2,"0000"))</x:f>
      </x:c>
      <x:c r="B35" s="22"/>
      <x:c r="C35" s="22"/>
      <x:c r="D35" s="22"/>
      <x:c r="E35" s="22"/>
      <x:c r="F35" s="22"/>
      <x:c r="G35" s="22"/>
      <x:c r="H35" s="26"/>
      <x:c r="I35" s="22"/>
      <x:c r="J35" s="22"/>
      <x:c r="K35" s="22"/>
      <x:c r="L35" s="22"/>
      <x:c r="M35" s="22"/>
      <x:c r="N35" s="22"/>
      <x:c r="O35" s="22"/>
      <x:c r="P35" s="22"/>
      <x:c r="Q35" s="22"/>
    </x:row>
    <x:row r="36">
      <x:c r="A36" s="22" t="str">
        <x:f>IF(E36="","","RES-"&amp;TEXT(ROW()-2,"0000"))</x:f>
      </x:c>
      <x:c r="B36" s="22"/>
      <x:c r="C36" s="22"/>
      <x:c r="D36" s="22"/>
      <x:c r="E36" s="22"/>
      <x:c r="F36" s="22"/>
      <x:c r="G36" s="22"/>
      <x:c r="H36" s="26"/>
      <x:c r="I36" s="22"/>
      <x:c r="J36" s="22"/>
      <x:c r="K36" s="22"/>
      <x:c r="L36" s="22"/>
      <x:c r="M36" s="22"/>
      <x:c r="N36" s="22"/>
      <x:c r="O36" s="22"/>
      <x:c r="P36" s="22"/>
      <x:c r="Q36" s="22"/>
    </x:row>
    <x:row r="37">
      <x:c r="A37" s="22" t="str">
        <x:f>IF(E37="","","RES-"&amp;TEXT(ROW()-2,"0000"))</x:f>
      </x:c>
      <x:c r="B37" s="22"/>
      <x:c r="C37" s="22"/>
      <x:c r="D37" s="22"/>
      <x:c r="E37" s="22"/>
      <x:c r="F37" s="22"/>
      <x:c r="G37" s="22"/>
      <x:c r="H37" s="26"/>
      <x:c r="I37" s="22"/>
      <x:c r="J37" s="22"/>
      <x:c r="K37" s="22"/>
      <x:c r="L37" s="22"/>
      <x:c r="M37" s="22"/>
      <x:c r="N37" s="22"/>
      <x:c r="O37" s="22"/>
      <x:c r="P37" s="22"/>
      <x:c r="Q37" s="22"/>
    </x:row>
    <x:row r="38">
      <x:c r="A38" s="22" t="str">
        <x:f>IF(E38="","","RES-"&amp;TEXT(ROW()-2,"0000"))</x:f>
      </x:c>
      <x:c r="B38" s="22"/>
      <x:c r="C38" s="22"/>
      <x:c r="D38" s="22"/>
      <x:c r="E38" s="22"/>
      <x:c r="F38" s="22"/>
      <x:c r="G38" s="22"/>
      <x:c r="H38" s="26"/>
      <x:c r="I38" s="22"/>
      <x:c r="J38" s="22"/>
      <x:c r="K38" s="22"/>
      <x:c r="L38" s="22"/>
      <x:c r="M38" s="22"/>
      <x:c r="N38" s="22"/>
      <x:c r="O38" s="22"/>
      <x:c r="P38" s="22"/>
      <x:c r="Q38" s="22"/>
    </x:row>
    <x:row r="39">
      <x:c r="A39" s="22" t="str">
        <x:f>IF(E39="","","RES-"&amp;TEXT(ROW()-2,"0000"))</x:f>
      </x:c>
      <x:c r="B39" s="22"/>
      <x:c r="C39" s="22"/>
      <x:c r="D39" s="22"/>
      <x:c r="E39" s="22"/>
      <x:c r="F39" s="22"/>
      <x:c r="G39" s="22"/>
      <x:c r="H39" s="26"/>
      <x:c r="I39" s="22"/>
      <x:c r="J39" s="22"/>
      <x:c r="K39" s="22"/>
      <x:c r="L39" s="22"/>
      <x:c r="M39" s="22"/>
      <x:c r="N39" s="22"/>
      <x:c r="O39" s="22"/>
      <x:c r="P39" s="22"/>
      <x:c r="Q39" s="22"/>
    </x:row>
    <x:row r="40">
      <x:c r="A40" s="22" t="str">
        <x:f>IF(E40="","","RES-"&amp;TEXT(ROW()-2,"0000"))</x:f>
      </x:c>
      <x:c r="B40" s="22"/>
      <x:c r="C40" s="22"/>
      <x:c r="D40" s="22"/>
      <x:c r="E40" s="22"/>
      <x:c r="F40" s="22"/>
      <x:c r="G40" s="22"/>
      <x:c r="H40" s="26"/>
      <x:c r="I40" s="22"/>
      <x:c r="J40" s="22"/>
      <x:c r="K40" s="22"/>
      <x:c r="L40" s="22"/>
      <x:c r="M40" s="22"/>
      <x:c r="N40" s="22"/>
      <x:c r="O40" s="22"/>
      <x:c r="P40" s="22"/>
      <x:c r="Q40" s="22"/>
    </x:row>
    <x:row r="41">
      <x:c r="A41" s="22" t="str">
        <x:f>IF(E41="","","RES-"&amp;TEXT(ROW()-2,"0000"))</x:f>
      </x:c>
      <x:c r="B41" s="22"/>
      <x:c r="C41" s="22"/>
      <x:c r="D41" s="22"/>
      <x:c r="E41" s="22"/>
      <x:c r="F41" s="22"/>
      <x:c r="G41" s="22"/>
      <x:c r="H41" s="26"/>
      <x:c r="I41" s="22"/>
      <x:c r="J41" s="22"/>
      <x:c r="K41" s="22"/>
      <x:c r="L41" s="22"/>
      <x:c r="M41" s="22"/>
      <x:c r="N41" s="22"/>
      <x:c r="O41" s="22"/>
      <x:c r="P41" s="22"/>
      <x:c r="Q41" s="22"/>
    </x:row>
    <x:row r="42">
      <x:c r="A42" s="22" t="str">
        <x:f>IF(E42="","","RES-"&amp;TEXT(ROW()-2,"0000"))</x:f>
      </x:c>
      <x:c r="B42" s="22"/>
      <x:c r="C42" s="22"/>
      <x:c r="D42" s="22"/>
      <x:c r="E42" s="22"/>
      <x:c r="F42" s="22"/>
      <x:c r="G42" s="22"/>
      <x:c r="H42" s="26"/>
      <x:c r="I42" s="22"/>
      <x:c r="J42" s="22"/>
      <x:c r="K42" s="22"/>
      <x:c r="L42" s="22"/>
      <x:c r="M42" s="22"/>
      <x:c r="N42" s="22"/>
      <x:c r="O42" s="22"/>
      <x:c r="P42" s="22"/>
      <x:c r="Q42" s="22"/>
    </x:row>
    <x:row r="43">
      <x:c r="A43" s="22" t="str">
        <x:f>IF(E43="","","RES-"&amp;TEXT(ROW()-2,"0000"))</x:f>
      </x:c>
      <x:c r="B43" s="22"/>
      <x:c r="C43" s="22"/>
      <x:c r="D43" s="22"/>
      <x:c r="E43" s="22"/>
      <x:c r="F43" s="22"/>
      <x:c r="G43" s="22"/>
      <x:c r="H43" s="26"/>
      <x:c r="I43" s="22"/>
      <x:c r="J43" s="22"/>
      <x:c r="K43" s="22"/>
      <x:c r="L43" s="22"/>
      <x:c r="M43" s="22"/>
      <x:c r="N43" s="22"/>
      <x:c r="O43" s="22"/>
      <x:c r="P43" s="22"/>
      <x:c r="Q43" s="22"/>
    </x:row>
    <x:row r="44">
      <x:c r="A44" s="22" t="str">
        <x:f>IF(E44="","","RES-"&amp;TEXT(ROW()-2,"0000"))</x:f>
      </x:c>
      <x:c r="B44" s="22"/>
      <x:c r="C44" s="22"/>
      <x:c r="D44" s="22"/>
      <x:c r="E44" s="22"/>
      <x:c r="F44" s="22"/>
      <x:c r="G44" s="22"/>
      <x:c r="H44" s="26"/>
      <x:c r="I44" s="22"/>
      <x:c r="J44" s="22"/>
      <x:c r="K44" s="22"/>
      <x:c r="L44" s="22"/>
      <x:c r="M44" s="22"/>
      <x:c r="N44" s="22"/>
      <x:c r="O44" s="22"/>
      <x:c r="P44" s="22"/>
      <x:c r="Q44" s="22"/>
    </x:row>
    <x:row r="45">
      <x:c r="A45" s="22" t="str">
        <x:f>IF(E45="","","RES-"&amp;TEXT(ROW()-2,"0000"))</x:f>
      </x:c>
      <x:c r="B45" s="22"/>
      <x:c r="C45" s="22"/>
      <x:c r="D45" s="22"/>
      <x:c r="E45" s="22"/>
      <x:c r="F45" s="22"/>
      <x:c r="G45" s="22"/>
      <x:c r="H45" s="26"/>
      <x:c r="I45" s="22"/>
      <x:c r="J45" s="22"/>
      <x:c r="K45" s="22"/>
      <x:c r="L45" s="22"/>
      <x:c r="M45" s="22"/>
      <x:c r="N45" s="22"/>
      <x:c r="O45" s="22"/>
      <x:c r="P45" s="22"/>
      <x:c r="Q45" s="22"/>
    </x:row>
    <x:row r="46">
      <x:c r="A46" s="22" t="str">
        <x:f>IF(E46="","","RES-"&amp;TEXT(ROW()-2,"0000"))</x:f>
      </x:c>
      <x:c r="B46" s="22"/>
      <x:c r="C46" s="22"/>
      <x:c r="D46" s="22"/>
      <x:c r="E46" s="22"/>
      <x:c r="F46" s="22"/>
      <x:c r="G46" s="22"/>
      <x:c r="H46" s="26"/>
      <x:c r="I46" s="22"/>
      <x:c r="J46" s="22"/>
      <x:c r="K46" s="22"/>
      <x:c r="L46" s="22"/>
      <x:c r="M46" s="22"/>
      <x:c r="N46" s="22"/>
      <x:c r="O46" s="22"/>
      <x:c r="P46" s="22"/>
      <x:c r="Q46" s="22"/>
    </x:row>
    <x:row r="47">
      <x:c r="A47" s="22" t="str">
        <x:f>IF(E47="","","RES-"&amp;TEXT(ROW()-2,"0000"))</x:f>
      </x:c>
      <x:c r="B47" s="22"/>
      <x:c r="C47" s="22"/>
      <x:c r="D47" s="22"/>
      <x:c r="E47" s="22"/>
      <x:c r="F47" s="22"/>
      <x:c r="G47" s="22"/>
      <x:c r="H47" s="26"/>
      <x:c r="I47" s="22"/>
      <x:c r="J47" s="22"/>
      <x:c r="K47" s="22"/>
      <x:c r="L47" s="22"/>
      <x:c r="M47" s="22"/>
      <x:c r="N47" s="22"/>
      <x:c r="O47" s="22"/>
      <x:c r="P47" s="22"/>
      <x:c r="Q47" s="22"/>
    </x:row>
    <x:row r="48">
      <x:c r="A48" s="22" t="str">
        <x:f>IF(E48="","","RES-"&amp;TEXT(ROW()-2,"0000"))</x:f>
      </x:c>
      <x:c r="B48" s="22"/>
      <x:c r="C48" s="22"/>
      <x:c r="D48" s="22"/>
      <x:c r="E48" s="22"/>
      <x:c r="F48" s="22"/>
      <x:c r="G48" s="22"/>
      <x:c r="H48" s="26"/>
      <x:c r="I48" s="22"/>
      <x:c r="J48" s="22"/>
      <x:c r="K48" s="22"/>
      <x:c r="L48" s="22"/>
      <x:c r="M48" s="22"/>
      <x:c r="N48" s="22"/>
      <x:c r="O48" s="22"/>
      <x:c r="P48" s="22"/>
      <x:c r="Q48" s="22"/>
    </x:row>
    <x:row r="49">
      <x:c r="A49" s="22" t="str">
        <x:f>IF(E49="","","RES-"&amp;TEXT(ROW()-2,"0000"))</x:f>
      </x:c>
      <x:c r="B49" s="22"/>
      <x:c r="C49" s="22"/>
      <x:c r="D49" s="22"/>
      <x:c r="E49" s="22"/>
      <x:c r="F49" s="22"/>
      <x:c r="G49" s="22"/>
      <x:c r="H49" s="26"/>
      <x:c r="I49" s="22"/>
      <x:c r="J49" s="22"/>
      <x:c r="K49" s="22"/>
      <x:c r="L49" s="22"/>
      <x:c r="M49" s="22"/>
      <x:c r="N49" s="22"/>
      <x:c r="O49" s="22"/>
      <x:c r="P49" s="22"/>
      <x:c r="Q49" s="22"/>
    </x:row>
    <x:row r="50">
      <x:c r="A50" s="22" t="str">
        <x:f>IF(E50="","","RES-"&amp;TEXT(ROW()-2,"0000"))</x:f>
      </x:c>
      <x:c r="B50" s="22"/>
      <x:c r="C50" s="22"/>
      <x:c r="D50" s="22"/>
      <x:c r="E50" s="22"/>
      <x:c r="F50" s="22"/>
      <x:c r="G50" s="22"/>
      <x:c r="H50" s="26"/>
      <x:c r="I50" s="22"/>
      <x:c r="J50" s="22"/>
      <x:c r="K50" s="22"/>
      <x:c r="L50" s="22"/>
      <x:c r="M50" s="22"/>
      <x:c r="N50" s="22"/>
      <x:c r="O50" s="22"/>
      <x:c r="P50" s="22"/>
      <x:c r="Q50" s="22"/>
    </x:row>
    <x:row r="51">
      <x:c r="A51" s="22" t="str">
        <x:f>IF(E51="","","RES-"&amp;TEXT(ROW()-2,"0000"))</x:f>
      </x:c>
      <x:c r="B51" s="22"/>
      <x:c r="C51" s="22"/>
      <x:c r="D51" s="22"/>
      <x:c r="E51" s="22"/>
      <x:c r="F51" s="22"/>
      <x:c r="G51" s="22"/>
      <x:c r="H51" s="26"/>
      <x:c r="I51" s="22"/>
      <x:c r="J51" s="22"/>
      <x:c r="K51" s="22"/>
      <x:c r="L51" s="22"/>
      <x:c r="M51" s="22"/>
      <x:c r="N51" s="22"/>
      <x:c r="O51" s="22"/>
      <x:c r="P51" s="22"/>
      <x:c r="Q51" s="22"/>
    </x:row>
    <x:row r="52">
      <x:c r="A52" s="22" t="str">
        <x:f>IF(E52="","","RES-"&amp;TEXT(ROW()-2,"0000"))</x:f>
      </x:c>
      <x:c r="B52" s="22"/>
      <x:c r="C52" s="22"/>
      <x:c r="D52" s="22"/>
      <x:c r="E52" s="22"/>
      <x:c r="F52" s="22"/>
      <x:c r="G52" s="22"/>
      <x:c r="H52" s="26"/>
      <x:c r="I52" s="22"/>
      <x:c r="J52" s="22"/>
      <x:c r="K52" s="22"/>
      <x:c r="L52" s="22"/>
      <x:c r="M52" s="22"/>
      <x:c r="N52" s="22"/>
      <x:c r="O52" s="22"/>
      <x:c r="P52" s="22"/>
      <x:c r="Q52" s="22"/>
    </x:row>
    <x:row r="53">
      <x:c r="A53" s="22" t="str">
        <x:f>IF(E53="","","RES-"&amp;TEXT(ROW()-2,"0000"))</x:f>
      </x:c>
      <x:c r="B53" s="22"/>
      <x:c r="C53" s="22"/>
      <x:c r="D53" s="22"/>
      <x:c r="E53" s="22"/>
      <x:c r="F53" s="22"/>
      <x:c r="G53" s="22"/>
      <x:c r="H53" s="26"/>
      <x:c r="I53" s="22"/>
      <x:c r="J53" s="22"/>
      <x:c r="K53" s="22"/>
      <x:c r="L53" s="22"/>
      <x:c r="M53" s="22"/>
      <x:c r="N53" s="22"/>
      <x:c r="O53" s="22"/>
      <x:c r="P53" s="22"/>
      <x:c r="Q53" s="22"/>
    </x:row>
    <x:row r="54">
      <x:c r="A54" s="22" t="str">
        <x:f>IF(E54="","","RES-"&amp;TEXT(ROW()-2,"0000"))</x:f>
      </x:c>
      <x:c r="B54" s="22"/>
      <x:c r="C54" s="22"/>
      <x:c r="D54" s="22"/>
      <x:c r="E54" s="22"/>
      <x:c r="F54" s="22"/>
      <x:c r="G54" s="22"/>
      <x:c r="H54" s="26"/>
      <x:c r="I54" s="22"/>
      <x:c r="J54" s="22"/>
      <x:c r="K54" s="22"/>
      <x:c r="L54" s="22"/>
      <x:c r="M54" s="22"/>
      <x:c r="N54" s="22"/>
      <x:c r="O54" s="22"/>
      <x:c r="P54" s="22"/>
      <x:c r="Q54" s="22"/>
    </x:row>
    <x:row r="55">
      <x:c r="A55" s="22" t="str">
        <x:f>IF(E55="","","RES-"&amp;TEXT(ROW()-2,"0000"))</x:f>
      </x:c>
      <x:c r="B55" s="22"/>
      <x:c r="C55" s="22"/>
      <x:c r="D55" s="22"/>
      <x:c r="E55" s="22"/>
      <x:c r="F55" s="22"/>
      <x:c r="G55" s="22"/>
      <x:c r="H55" s="26"/>
      <x:c r="I55" s="22"/>
      <x:c r="J55" s="22"/>
      <x:c r="K55" s="22"/>
      <x:c r="L55" s="22"/>
      <x:c r="M55" s="22"/>
      <x:c r="N55" s="22"/>
      <x:c r="O55" s="22"/>
      <x:c r="P55" s="22"/>
      <x:c r="Q55" s="22"/>
    </x:row>
    <x:row r="56">
      <x:c r="A56" s="22" t="str">
        <x:f>IF(E56="","","RES-"&amp;TEXT(ROW()-2,"0000"))</x:f>
      </x:c>
      <x:c r="B56" s="22"/>
      <x:c r="C56" s="22"/>
      <x:c r="D56" s="22"/>
      <x:c r="E56" s="22"/>
      <x:c r="F56" s="22"/>
      <x:c r="G56" s="22"/>
      <x:c r="H56" s="26"/>
      <x:c r="I56" s="22"/>
      <x:c r="J56" s="22"/>
      <x:c r="K56" s="22"/>
      <x:c r="L56" s="22"/>
      <x:c r="M56" s="22"/>
      <x:c r="N56" s="22"/>
      <x:c r="O56" s="22"/>
      <x:c r="P56" s="22"/>
      <x:c r="Q56" s="22"/>
    </x:row>
    <x:row r="57">
      <x:c r="A57" s="22" t="str">
        <x:f>IF(E57="","","RES-"&amp;TEXT(ROW()-2,"0000"))</x:f>
      </x:c>
      <x:c r="B57" s="22"/>
      <x:c r="C57" s="22"/>
      <x:c r="D57" s="22"/>
      <x:c r="E57" s="22"/>
      <x:c r="F57" s="22"/>
      <x:c r="G57" s="22"/>
      <x:c r="H57" s="26"/>
      <x:c r="I57" s="22"/>
      <x:c r="J57" s="22"/>
      <x:c r="K57" s="22"/>
      <x:c r="L57" s="22"/>
      <x:c r="M57" s="22"/>
      <x:c r="N57" s="22"/>
      <x:c r="O57" s="22"/>
      <x:c r="P57" s="22"/>
      <x:c r="Q57" s="22"/>
    </x:row>
    <x:row r="58">
      <x:c r="A58" s="22" t="str">
        <x:f>IF(E58="","","RES-"&amp;TEXT(ROW()-2,"0000"))</x:f>
      </x:c>
      <x:c r="B58" s="22"/>
      <x:c r="C58" s="22"/>
      <x:c r="D58" s="22"/>
      <x:c r="E58" s="22"/>
      <x:c r="F58" s="22"/>
      <x:c r="G58" s="22"/>
      <x:c r="H58" s="26"/>
      <x:c r="I58" s="22"/>
      <x:c r="J58" s="22"/>
      <x:c r="K58" s="22"/>
      <x:c r="L58" s="22"/>
      <x:c r="M58" s="22"/>
      <x:c r="N58" s="22"/>
      <x:c r="O58" s="22"/>
      <x:c r="P58" s="22"/>
      <x:c r="Q58" s="22"/>
    </x:row>
    <x:row r="59">
      <x:c r="A59" s="22" t="str">
        <x:f>IF(E59="","","RES-"&amp;TEXT(ROW()-2,"0000"))</x:f>
      </x:c>
      <x:c r="B59" s="22"/>
      <x:c r="C59" s="22"/>
      <x:c r="D59" s="22"/>
      <x:c r="E59" s="22"/>
      <x:c r="F59" s="22"/>
      <x:c r="G59" s="22"/>
      <x:c r="H59" s="26"/>
      <x:c r="I59" s="22"/>
      <x:c r="J59" s="22"/>
      <x:c r="K59" s="22"/>
      <x:c r="L59" s="22"/>
      <x:c r="M59" s="22"/>
      <x:c r="N59" s="22"/>
      <x:c r="O59" s="22"/>
      <x:c r="P59" s="22"/>
      <x:c r="Q59" s="22"/>
    </x:row>
    <x:row r="60">
      <x:c r="A60" s="22" t="str">
        <x:f>IF(E60="","","RES-"&amp;TEXT(ROW()-2,"0000"))</x:f>
      </x:c>
      <x:c r="B60" s="22"/>
      <x:c r="C60" s="22"/>
      <x:c r="D60" s="22"/>
      <x:c r="E60" s="22"/>
      <x:c r="F60" s="22"/>
      <x:c r="G60" s="22"/>
      <x:c r="H60" s="26"/>
      <x:c r="I60" s="22"/>
      <x:c r="J60" s="22"/>
      <x:c r="K60" s="22"/>
      <x:c r="L60" s="22"/>
      <x:c r="M60" s="22"/>
      <x:c r="N60" s="22"/>
      <x:c r="O60" s="22"/>
      <x:c r="P60" s="22"/>
      <x:c r="Q60" s="22"/>
    </x:row>
    <x:row r="61">
      <x:c r="A61" s="22" t="str">
        <x:f>IF(E61="","","RES-"&amp;TEXT(ROW()-2,"0000"))</x:f>
      </x:c>
      <x:c r="B61" s="22"/>
      <x:c r="C61" s="22"/>
      <x:c r="D61" s="22"/>
      <x:c r="E61" s="22"/>
      <x:c r="F61" s="22"/>
      <x:c r="G61" s="22"/>
      <x:c r="H61" s="26"/>
      <x:c r="I61" s="22"/>
      <x:c r="J61" s="22"/>
      <x:c r="K61" s="22"/>
      <x:c r="L61" s="22"/>
      <x:c r="M61" s="22"/>
      <x:c r="N61" s="22"/>
      <x:c r="O61" s="22"/>
      <x:c r="P61" s="22"/>
      <x:c r="Q61" s="22"/>
    </x:row>
    <x:row r="62">
      <x:c r="A62" s="22" t="str">
        <x:f>IF(E62="","","RES-"&amp;TEXT(ROW()-2,"0000"))</x:f>
      </x:c>
      <x:c r="B62" s="22"/>
      <x:c r="C62" s="22"/>
      <x:c r="D62" s="22"/>
      <x:c r="E62" s="22"/>
      <x:c r="F62" s="22"/>
      <x:c r="G62" s="22"/>
      <x:c r="H62" s="26"/>
      <x:c r="I62" s="22"/>
      <x:c r="J62" s="22"/>
      <x:c r="K62" s="22"/>
      <x:c r="L62" s="22"/>
      <x:c r="M62" s="22"/>
      <x:c r="N62" s="22"/>
      <x:c r="O62" s="22"/>
      <x:c r="P62" s="22"/>
      <x:c r="Q62" s="22"/>
    </x:row>
    <x:row r="63">
      <x:c r="A63" s="22" t="str">
        <x:f>IF(E63="","","RES-"&amp;TEXT(ROW()-2,"0000"))</x:f>
      </x:c>
      <x:c r="B63" s="22"/>
      <x:c r="C63" s="22"/>
      <x:c r="D63" s="22"/>
      <x:c r="E63" s="22"/>
      <x:c r="F63" s="22"/>
      <x:c r="G63" s="22"/>
      <x:c r="H63" s="26"/>
      <x:c r="I63" s="22"/>
      <x:c r="J63" s="22"/>
      <x:c r="K63" s="22"/>
      <x:c r="L63" s="22"/>
      <x:c r="M63" s="22"/>
      <x:c r="N63" s="22"/>
      <x:c r="O63" s="22"/>
      <x:c r="P63" s="22"/>
      <x:c r="Q63" s="22"/>
    </x:row>
    <x:row r="64">
      <x:c r="A64" s="22" t="str">
        <x:f>IF(E64="","","RES-"&amp;TEXT(ROW()-2,"0000"))</x:f>
      </x:c>
      <x:c r="B64" s="22"/>
      <x:c r="C64" s="22"/>
      <x:c r="D64" s="22"/>
      <x:c r="E64" s="22"/>
      <x:c r="F64" s="22"/>
      <x:c r="G64" s="22"/>
      <x:c r="H64" s="26"/>
      <x:c r="I64" s="22"/>
      <x:c r="J64" s="22"/>
      <x:c r="K64" s="22"/>
      <x:c r="L64" s="22"/>
      <x:c r="M64" s="22"/>
      <x:c r="N64" s="22"/>
      <x:c r="O64" s="22"/>
      <x:c r="P64" s="22"/>
      <x:c r="Q64" s="22"/>
    </x:row>
    <x:row r="65">
      <x:c r="A65" s="22" t="str">
        <x:f>IF(E65="","","RES-"&amp;TEXT(ROW()-2,"0000"))</x:f>
      </x:c>
      <x:c r="B65" s="22"/>
      <x:c r="C65" s="22"/>
      <x:c r="D65" s="22"/>
      <x:c r="E65" s="22"/>
      <x:c r="F65" s="22"/>
      <x:c r="G65" s="22"/>
      <x:c r="H65" s="26"/>
      <x:c r="I65" s="22"/>
      <x:c r="J65" s="22"/>
      <x:c r="K65" s="22"/>
      <x:c r="L65" s="22"/>
      <x:c r="M65" s="22"/>
      <x:c r="N65" s="22"/>
      <x:c r="O65" s="22"/>
      <x:c r="P65" s="22"/>
      <x:c r="Q65" s="22"/>
    </x:row>
    <x:row r="66">
      <x:c r="A66" s="22" t="str">
        <x:f>IF(E66="","","RES-"&amp;TEXT(ROW()-2,"0000"))</x:f>
      </x:c>
      <x:c r="B66" s="22"/>
      <x:c r="C66" s="22"/>
      <x:c r="D66" s="22"/>
      <x:c r="E66" s="22"/>
      <x:c r="F66" s="22"/>
      <x:c r="G66" s="22"/>
      <x:c r="H66" s="26"/>
      <x:c r="I66" s="22"/>
      <x:c r="J66" s="22"/>
      <x:c r="K66" s="22"/>
      <x:c r="L66" s="22"/>
      <x:c r="M66" s="22"/>
      <x:c r="N66" s="22"/>
      <x:c r="O66" s="22"/>
      <x:c r="P66" s="22"/>
      <x:c r="Q66" s="22"/>
    </x:row>
    <x:row r="67">
      <x:c r="A67" s="22" t="str">
        <x:f>IF(E67="","","RES-"&amp;TEXT(ROW()-2,"0000"))</x:f>
      </x:c>
      <x:c r="B67" s="22"/>
      <x:c r="C67" s="22"/>
      <x:c r="D67" s="22"/>
      <x:c r="E67" s="22"/>
      <x:c r="F67" s="22"/>
      <x:c r="G67" s="22"/>
      <x:c r="H67" s="26"/>
      <x:c r="I67" s="22"/>
      <x:c r="J67" s="22"/>
      <x:c r="K67" s="22"/>
      <x:c r="L67" s="22"/>
      <x:c r="M67" s="22"/>
      <x:c r="N67" s="22"/>
      <x:c r="O67" s="22"/>
      <x:c r="P67" s="22"/>
      <x:c r="Q67" s="22"/>
    </x:row>
    <x:row r="68">
      <x:c r="A68" s="22" t="str">
        <x:f>IF(E68="","","RES-"&amp;TEXT(ROW()-2,"0000"))</x:f>
      </x:c>
      <x:c r="B68" s="22"/>
      <x:c r="C68" s="22"/>
      <x:c r="D68" s="22"/>
      <x:c r="E68" s="22"/>
      <x:c r="F68" s="22"/>
      <x:c r="G68" s="22"/>
      <x:c r="H68" s="26"/>
      <x:c r="I68" s="22"/>
      <x:c r="J68" s="22"/>
      <x:c r="K68" s="22"/>
      <x:c r="L68" s="22"/>
      <x:c r="M68" s="22"/>
      <x:c r="N68" s="22"/>
      <x:c r="O68" s="22"/>
      <x:c r="P68" s="22"/>
      <x:c r="Q68" s="22"/>
    </x:row>
    <x:row r="69">
      <x:c r="A69" s="22" t="str">
        <x:f>IF(E69="","","RES-"&amp;TEXT(ROW()-2,"0000"))</x:f>
      </x:c>
      <x:c r="B69" s="22"/>
      <x:c r="C69" s="22"/>
      <x:c r="D69" s="22"/>
      <x:c r="E69" s="22"/>
      <x:c r="F69" s="22"/>
      <x:c r="G69" s="22"/>
      <x:c r="H69" s="26"/>
      <x:c r="I69" s="22"/>
      <x:c r="J69" s="22"/>
      <x:c r="K69" s="22"/>
      <x:c r="L69" s="22"/>
      <x:c r="M69" s="22"/>
      <x:c r="N69" s="22"/>
      <x:c r="O69" s="22"/>
      <x:c r="P69" s="22"/>
      <x:c r="Q69" s="22"/>
    </x:row>
    <x:row r="70">
      <x:c r="A70" s="22" t="str">
        <x:f>IF(E70="","","RES-"&amp;TEXT(ROW()-2,"0000"))</x:f>
      </x:c>
      <x:c r="B70" s="22"/>
      <x:c r="C70" s="22"/>
      <x:c r="D70" s="22"/>
      <x:c r="E70" s="22"/>
      <x:c r="F70" s="22"/>
      <x:c r="G70" s="22"/>
      <x:c r="H70" s="26"/>
      <x:c r="I70" s="22"/>
      <x:c r="J70" s="22"/>
      <x:c r="K70" s="22"/>
      <x:c r="L70" s="22"/>
      <x:c r="M70" s="22"/>
      <x:c r="N70" s="22"/>
      <x:c r="O70" s="22"/>
      <x:c r="P70" s="22"/>
      <x:c r="Q70" s="22"/>
    </x:row>
    <x:row r="71">
      <x:c r="A71" s="22" t="str">
        <x:f>IF(E71="","","RES-"&amp;TEXT(ROW()-2,"0000"))</x:f>
      </x:c>
      <x:c r="B71" s="22"/>
      <x:c r="C71" s="22"/>
      <x:c r="D71" s="22"/>
      <x:c r="E71" s="22"/>
      <x:c r="F71" s="22"/>
      <x:c r="G71" s="22"/>
      <x:c r="H71" s="26"/>
      <x:c r="I71" s="22"/>
      <x:c r="J71" s="22"/>
      <x:c r="K71" s="22"/>
      <x:c r="L71" s="22"/>
      <x:c r="M71" s="22"/>
      <x:c r="N71" s="22"/>
      <x:c r="O71" s="22"/>
      <x:c r="P71" s="22"/>
      <x:c r="Q71" s="22"/>
    </x:row>
    <x:row r="72">
      <x:c r="A72" s="22" t="str">
        <x:f>IF(E72="","","RES-"&amp;TEXT(ROW()-2,"0000"))</x:f>
      </x:c>
      <x:c r="B72" s="22"/>
      <x:c r="C72" s="22"/>
      <x:c r="D72" s="22"/>
      <x:c r="E72" s="22"/>
      <x:c r="F72" s="22"/>
      <x:c r="G72" s="22"/>
      <x:c r="H72" s="26"/>
      <x:c r="I72" s="22"/>
      <x:c r="J72" s="22"/>
      <x:c r="K72" s="22"/>
      <x:c r="L72" s="22"/>
      <x:c r="M72" s="22"/>
      <x:c r="N72" s="22"/>
      <x:c r="O72" s="22"/>
      <x:c r="P72" s="22"/>
      <x:c r="Q72" s="22"/>
    </x:row>
    <x:row r="73">
      <x:c r="A73" s="22" t="str">
        <x:f>IF(E73="","","RES-"&amp;TEXT(ROW()-2,"0000"))</x:f>
      </x:c>
      <x:c r="B73" s="22"/>
      <x:c r="C73" s="22"/>
      <x:c r="D73" s="22"/>
      <x:c r="E73" s="22"/>
      <x:c r="F73" s="22"/>
      <x:c r="G73" s="22"/>
      <x:c r="H73" s="26"/>
      <x:c r="I73" s="22"/>
      <x:c r="J73" s="22"/>
      <x:c r="K73" s="22"/>
      <x:c r="L73" s="22"/>
      <x:c r="M73" s="22"/>
      <x:c r="N73" s="22"/>
      <x:c r="O73" s="22"/>
      <x:c r="P73" s="22"/>
      <x:c r="Q73" s="22"/>
    </x:row>
    <x:row r="74">
      <x:c r="A74" s="22" t="str">
        <x:f>IF(E74="","","RES-"&amp;TEXT(ROW()-2,"0000"))</x:f>
      </x:c>
      <x:c r="B74" s="22"/>
      <x:c r="C74" s="22"/>
      <x:c r="D74" s="22"/>
      <x:c r="E74" s="22"/>
      <x:c r="F74" s="22"/>
      <x:c r="G74" s="22"/>
      <x:c r="H74" s="26"/>
      <x:c r="I74" s="22"/>
      <x:c r="J74" s="22"/>
      <x:c r="K74" s="22"/>
      <x:c r="L74" s="22"/>
      <x:c r="M74" s="22"/>
      <x:c r="N74" s="22"/>
      <x:c r="O74" s="22"/>
      <x:c r="P74" s="22"/>
      <x:c r="Q74" s="22"/>
    </x:row>
    <x:row r="75">
      <x:c r="A75" s="22" t="str">
        <x:f>IF(E75="","","RES-"&amp;TEXT(ROW()-2,"0000"))</x:f>
      </x:c>
      <x:c r="B75" s="22"/>
      <x:c r="C75" s="22"/>
      <x:c r="D75" s="22"/>
      <x:c r="E75" s="22"/>
      <x:c r="F75" s="22"/>
      <x:c r="G75" s="22"/>
      <x:c r="H75" s="26"/>
      <x:c r="I75" s="22"/>
      <x:c r="J75" s="22"/>
      <x:c r="K75" s="22"/>
      <x:c r="L75" s="22"/>
      <x:c r="M75" s="22"/>
      <x:c r="N75" s="22"/>
      <x:c r="O75" s="22"/>
      <x:c r="P75" s="22"/>
      <x:c r="Q75" s="22"/>
    </x:row>
    <x:row r="76">
      <x:c r="A76" s="22" t="str">
        <x:f>IF(E76="","","RES-"&amp;TEXT(ROW()-2,"0000"))</x:f>
      </x:c>
      <x:c r="B76" s="22"/>
      <x:c r="C76" s="22"/>
      <x:c r="D76" s="22"/>
      <x:c r="E76" s="22"/>
      <x:c r="F76" s="22"/>
      <x:c r="G76" s="22"/>
      <x:c r="H76" s="26"/>
      <x:c r="I76" s="22"/>
      <x:c r="J76" s="22"/>
      <x:c r="K76" s="22"/>
      <x:c r="L76" s="22"/>
      <x:c r="M76" s="22"/>
      <x:c r="N76" s="22"/>
      <x:c r="O76" s="22"/>
      <x:c r="P76" s="22"/>
      <x:c r="Q76" s="22"/>
    </x:row>
    <x:row r="77">
      <x:c r="A77" s="22" t="str">
        <x:f>IF(E77="","","RES-"&amp;TEXT(ROW()-2,"0000"))</x:f>
      </x:c>
      <x:c r="B77" s="22"/>
      <x:c r="C77" s="22"/>
      <x:c r="D77" s="22"/>
      <x:c r="E77" s="22"/>
      <x:c r="F77" s="22"/>
      <x:c r="G77" s="22"/>
      <x:c r="H77" s="26"/>
      <x:c r="I77" s="22"/>
      <x:c r="J77" s="22"/>
      <x:c r="K77" s="22"/>
      <x:c r="L77" s="22"/>
      <x:c r="M77" s="22"/>
      <x:c r="N77" s="22"/>
      <x:c r="O77" s="22"/>
      <x:c r="P77" s="22"/>
      <x:c r="Q77" s="22"/>
    </x:row>
    <x:row r="78">
      <x:c r="A78" s="22" t="str">
        <x:f>IF(E78="","","RES-"&amp;TEXT(ROW()-2,"0000"))</x:f>
      </x:c>
      <x:c r="B78" s="22"/>
      <x:c r="C78" s="22"/>
      <x:c r="D78" s="22"/>
      <x:c r="E78" s="22"/>
      <x:c r="F78" s="22"/>
      <x:c r="G78" s="22"/>
      <x:c r="H78" s="26"/>
      <x:c r="I78" s="22"/>
      <x:c r="J78" s="22"/>
      <x:c r="K78" s="22"/>
      <x:c r="L78" s="22"/>
      <x:c r="M78" s="22"/>
      <x:c r="N78" s="22"/>
      <x:c r="O78" s="22"/>
      <x:c r="P78" s="22"/>
      <x:c r="Q78" s="22"/>
    </x:row>
    <x:row r="79">
      <x:c r="A79" s="22" t="str">
        <x:f>IF(E79="","","RES-"&amp;TEXT(ROW()-2,"0000"))</x:f>
      </x:c>
      <x:c r="B79" s="22"/>
      <x:c r="C79" s="22"/>
      <x:c r="D79" s="22"/>
      <x:c r="E79" s="22"/>
      <x:c r="F79" s="22"/>
      <x:c r="G79" s="22"/>
      <x:c r="H79" s="26"/>
      <x:c r="I79" s="22"/>
      <x:c r="J79" s="22"/>
      <x:c r="K79" s="22"/>
      <x:c r="L79" s="22"/>
      <x:c r="M79" s="22"/>
      <x:c r="N79" s="22"/>
      <x:c r="O79" s="22"/>
      <x:c r="P79" s="22"/>
      <x:c r="Q79" s="22"/>
    </x:row>
    <x:row r="80">
      <x:c r="A80" s="22" t="str">
        <x:f>IF(E80="","","RES-"&amp;TEXT(ROW()-2,"0000"))</x:f>
      </x:c>
      <x:c r="B80" s="22"/>
      <x:c r="C80" s="22"/>
      <x:c r="D80" s="22"/>
      <x:c r="E80" s="22"/>
      <x:c r="F80" s="22"/>
      <x:c r="G80" s="22"/>
      <x:c r="H80" s="26"/>
      <x:c r="I80" s="22"/>
      <x:c r="J80" s="22"/>
      <x:c r="K80" s="22"/>
      <x:c r="L80" s="22"/>
      <x:c r="M80" s="22"/>
      <x:c r="N80" s="22"/>
      <x:c r="O80" s="22"/>
      <x:c r="P80" s="22"/>
      <x:c r="Q80" s="22"/>
    </x:row>
    <x:row r="81">
      <x:c r="A81" s="22" t="str">
        <x:f>IF(E81="","","RES-"&amp;TEXT(ROW()-2,"0000"))</x:f>
      </x:c>
      <x:c r="B81" s="22"/>
      <x:c r="C81" s="22"/>
      <x:c r="D81" s="22"/>
      <x:c r="E81" s="22"/>
      <x:c r="F81" s="22"/>
      <x:c r="G81" s="22"/>
      <x:c r="H81" s="26"/>
      <x:c r="I81" s="22"/>
      <x:c r="J81" s="22"/>
      <x:c r="K81" s="22"/>
      <x:c r="L81" s="22"/>
      <x:c r="M81" s="22"/>
      <x:c r="N81" s="22"/>
      <x:c r="O81" s="22"/>
      <x:c r="P81" s="22"/>
      <x:c r="Q81" s="22"/>
    </x:row>
    <x:row r="82">
      <x:c r="A82" s="22" t="str">
        <x:f>IF(E82="","","RES-"&amp;TEXT(ROW()-2,"0000"))</x:f>
      </x:c>
      <x:c r="B82" s="22"/>
      <x:c r="C82" s="22"/>
      <x:c r="D82" s="22"/>
      <x:c r="E82" s="22"/>
      <x:c r="F82" s="22"/>
      <x:c r="G82" s="22"/>
      <x:c r="H82" s="26"/>
      <x:c r="I82" s="22"/>
      <x:c r="J82" s="22"/>
      <x:c r="K82" s="22"/>
      <x:c r="L82" s="22"/>
      <x:c r="M82" s="22"/>
      <x:c r="N82" s="22"/>
      <x:c r="O82" s="22"/>
      <x:c r="P82" s="22"/>
      <x:c r="Q82" s="22"/>
    </x:row>
    <x:row r="83">
      <x:c r="A83" s="22" t="str">
        <x:f>IF(E83="","","RES-"&amp;TEXT(ROW()-2,"0000"))</x:f>
      </x:c>
      <x:c r="B83" s="22"/>
      <x:c r="C83" s="22"/>
      <x:c r="D83" s="22"/>
      <x:c r="E83" s="22"/>
      <x:c r="F83" s="22"/>
      <x:c r="G83" s="22"/>
      <x:c r="H83" s="26"/>
      <x:c r="I83" s="22"/>
      <x:c r="J83" s="22"/>
      <x:c r="K83" s="22"/>
      <x:c r="L83" s="22"/>
      <x:c r="M83" s="22"/>
      <x:c r="N83" s="22"/>
      <x:c r="O83" s="22"/>
      <x:c r="P83" s="22"/>
      <x:c r="Q83" s="22"/>
    </x:row>
    <x:row r="84">
      <x:c r="A84" s="22" t="str">
        <x:f>IF(E84="","","RES-"&amp;TEXT(ROW()-2,"0000"))</x:f>
      </x:c>
      <x:c r="B84" s="22"/>
      <x:c r="C84" s="22"/>
      <x:c r="D84" s="22"/>
      <x:c r="E84" s="22"/>
      <x:c r="F84" s="22"/>
      <x:c r="G84" s="22"/>
      <x:c r="H84" s="26"/>
      <x:c r="I84" s="22"/>
      <x:c r="J84" s="22"/>
      <x:c r="K84" s="22"/>
      <x:c r="L84" s="22"/>
      <x:c r="M84" s="22"/>
      <x:c r="N84" s="22"/>
      <x:c r="O84" s="22"/>
      <x:c r="P84" s="22"/>
      <x:c r="Q84" s="22"/>
    </x:row>
    <x:row r="85">
      <x:c r="A85" s="22" t="str">
        <x:f>IF(E85="","","RES-"&amp;TEXT(ROW()-2,"0000"))</x:f>
      </x:c>
      <x:c r="B85" s="22"/>
      <x:c r="C85" s="22"/>
      <x:c r="D85" s="22"/>
      <x:c r="E85" s="22"/>
      <x:c r="F85" s="22"/>
      <x:c r="G85" s="22"/>
      <x:c r="H85" s="26"/>
      <x:c r="I85" s="22"/>
      <x:c r="J85" s="22"/>
      <x:c r="K85" s="22"/>
      <x:c r="L85" s="22"/>
      <x:c r="M85" s="22"/>
      <x:c r="N85" s="22"/>
      <x:c r="O85" s="22"/>
      <x:c r="P85" s="22"/>
      <x:c r="Q85" s="22"/>
    </x:row>
    <x:row r="86">
      <x:c r="A86" s="22" t="str">
        <x:f>IF(E86="","","RES-"&amp;TEXT(ROW()-2,"0000"))</x:f>
      </x:c>
      <x:c r="B86" s="22"/>
      <x:c r="C86" s="22"/>
      <x:c r="D86" s="22"/>
      <x:c r="E86" s="22"/>
      <x:c r="F86" s="22"/>
      <x:c r="G86" s="22"/>
      <x:c r="H86" s="26"/>
      <x:c r="I86" s="22"/>
      <x:c r="J86" s="22"/>
      <x:c r="K86" s="22"/>
      <x:c r="L86" s="22"/>
      <x:c r="M86" s="22"/>
      <x:c r="N86" s="22"/>
      <x:c r="O86" s="22"/>
      <x:c r="P86" s="22"/>
      <x:c r="Q86" s="22"/>
    </x:row>
    <x:row r="87">
      <x:c r="A87" s="22" t="str">
        <x:f>IF(E87="","","RES-"&amp;TEXT(ROW()-2,"0000"))</x:f>
      </x:c>
      <x:c r="B87" s="22"/>
      <x:c r="C87" s="22"/>
      <x:c r="D87" s="22"/>
      <x:c r="E87" s="22"/>
      <x:c r="F87" s="22"/>
      <x:c r="G87" s="22"/>
      <x:c r="H87" s="26"/>
      <x:c r="I87" s="22"/>
      <x:c r="J87" s="22"/>
      <x:c r="K87" s="22"/>
      <x:c r="L87" s="22"/>
      <x:c r="M87" s="22"/>
      <x:c r="N87" s="22"/>
      <x:c r="O87" s="22"/>
      <x:c r="P87" s="22"/>
      <x:c r="Q87" s="22"/>
    </x:row>
    <x:row r="88">
      <x:c r="A88" s="22" t="str">
        <x:f>IF(E88="","","RES-"&amp;TEXT(ROW()-2,"0000"))</x:f>
      </x:c>
      <x:c r="B88" s="22"/>
      <x:c r="C88" s="22"/>
      <x:c r="D88" s="22"/>
      <x:c r="E88" s="22"/>
      <x:c r="F88" s="22"/>
      <x:c r="G88" s="22"/>
      <x:c r="H88" s="26"/>
      <x:c r="I88" s="22"/>
      <x:c r="J88" s="22"/>
      <x:c r="K88" s="22"/>
      <x:c r="L88" s="22"/>
      <x:c r="M88" s="22"/>
      <x:c r="N88" s="22"/>
      <x:c r="O88" s="22"/>
      <x:c r="P88" s="22"/>
      <x:c r="Q88" s="22"/>
    </x:row>
    <x:row r="89">
      <x:c r="A89" s="22" t="str">
        <x:f>IF(E89="","","RES-"&amp;TEXT(ROW()-2,"0000"))</x:f>
      </x:c>
      <x:c r="B89" s="22"/>
      <x:c r="C89" s="22"/>
      <x:c r="D89" s="22"/>
      <x:c r="E89" s="22"/>
      <x:c r="F89" s="22"/>
      <x:c r="G89" s="22"/>
      <x:c r="H89" s="26"/>
      <x:c r="I89" s="22"/>
      <x:c r="J89" s="22"/>
      <x:c r="K89" s="22"/>
      <x:c r="L89" s="22"/>
      <x:c r="M89" s="22"/>
      <x:c r="N89" s="22"/>
      <x:c r="O89" s="22"/>
      <x:c r="P89" s="22"/>
      <x:c r="Q89" s="22"/>
    </x:row>
    <x:row r="90">
      <x:c r="A90" s="22" t="str">
        <x:f>IF(E90="","","RES-"&amp;TEXT(ROW()-2,"0000"))</x:f>
      </x:c>
      <x:c r="B90" s="22"/>
      <x:c r="C90" s="22"/>
      <x:c r="D90" s="22"/>
      <x:c r="E90" s="22"/>
      <x:c r="F90" s="22"/>
      <x:c r="G90" s="22"/>
      <x:c r="H90" s="26"/>
      <x:c r="I90" s="22"/>
      <x:c r="J90" s="22"/>
      <x:c r="K90" s="22"/>
      <x:c r="L90" s="22"/>
      <x:c r="M90" s="22"/>
      <x:c r="N90" s="22"/>
      <x:c r="O90" s="22"/>
      <x:c r="P90" s="22"/>
      <x:c r="Q90" s="22"/>
    </x:row>
    <x:row r="91">
      <x:c r="A91" s="22" t="str">
        <x:f>IF(E91="","","RES-"&amp;TEXT(ROW()-2,"0000"))</x:f>
      </x:c>
      <x:c r="B91" s="22"/>
      <x:c r="C91" s="22"/>
      <x:c r="D91" s="22"/>
      <x:c r="E91" s="22"/>
      <x:c r="F91" s="22"/>
      <x:c r="G91" s="22"/>
      <x:c r="H91" s="26"/>
      <x:c r="I91" s="22"/>
      <x:c r="J91" s="22"/>
      <x:c r="K91" s="22"/>
      <x:c r="L91" s="22"/>
      <x:c r="M91" s="22"/>
      <x:c r="N91" s="22"/>
      <x:c r="O91" s="22"/>
      <x:c r="P91" s="22"/>
      <x:c r="Q91" s="22"/>
    </x:row>
    <x:row r="92">
      <x:c r="A92" s="22" t="str">
        <x:f>IF(E92="","","RES-"&amp;TEXT(ROW()-2,"0000"))</x:f>
      </x:c>
      <x:c r="B92" s="22"/>
      <x:c r="C92" s="22"/>
      <x:c r="D92" s="22"/>
      <x:c r="E92" s="22"/>
      <x:c r="F92" s="22"/>
      <x:c r="G92" s="22"/>
      <x:c r="H92" s="26"/>
      <x:c r="I92" s="22"/>
      <x:c r="J92" s="22"/>
      <x:c r="K92" s="22"/>
      <x:c r="L92" s="22"/>
      <x:c r="M92" s="22"/>
      <x:c r="N92" s="22"/>
      <x:c r="O92" s="22"/>
      <x:c r="P92" s="22"/>
      <x:c r="Q92" s="22"/>
    </x:row>
    <x:row r="93">
      <x:c r="A93" s="22" t="str">
        <x:f>IF(E93="","","RES-"&amp;TEXT(ROW()-2,"0000"))</x:f>
      </x:c>
      <x:c r="B93" s="22"/>
      <x:c r="C93" s="22"/>
      <x:c r="D93" s="22"/>
      <x:c r="E93" s="22"/>
      <x:c r="F93" s="22"/>
      <x:c r="G93" s="22"/>
      <x:c r="H93" s="26"/>
      <x:c r="I93" s="22"/>
      <x:c r="J93" s="22"/>
      <x:c r="K93" s="22"/>
      <x:c r="L93" s="22"/>
      <x:c r="M93" s="22"/>
      <x:c r="N93" s="22"/>
      <x:c r="O93" s="22"/>
      <x:c r="P93" s="22"/>
      <x:c r="Q93" s="22"/>
    </x:row>
    <x:row r="94">
      <x:c r="A94" s="22" t="str">
        <x:f>IF(E94="","","RES-"&amp;TEXT(ROW()-2,"0000"))</x:f>
      </x:c>
      <x:c r="B94" s="22"/>
      <x:c r="C94" s="22"/>
      <x:c r="D94" s="22"/>
      <x:c r="E94" s="22"/>
      <x:c r="F94" s="22"/>
      <x:c r="G94" s="22"/>
      <x:c r="H94" s="26"/>
      <x:c r="I94" s="22"/>
      <x:c r="J94" s="22"/>
      <x:c r="K94" s="22"/>
      <x:c r="L94" s="22"/>
      <x:c r="M94" s="22"/>
      <x:c r="N94" s="22"/>
      <x:c r="O94" s="22"/>
      <x:c r="P94" s="22"/>
      <x:c r="Q94" s="22"/>
    </x:row>
    <x:row r="95">
      <x:c r="A95" s="22" t="str">
        <x:f>IF(E95="","","RES-"&amp;TEXT(ROW()-2,"0000"))</x:f>
      </x:c>
      <x:c r="B95" s="22"/>
      <x:c r="C95" s="22"/>
      <x:c r="D95" s="22"/>
      <x:c r="E95" s="22"/>
      <x:c r="F95" s="22"/>
      <x:c r="G95" s="22"/>
      <x:c r="H95" s="26"/>
      <x:c r="I95" s="22"/>
      <x:c r="J95" s="22"/>
      <x:c r="K95" s="22"/>
      <x:c r="L95" s="22"/>
      <x:c r="M95" s="22"/>
      <x:c r="N95" s="22"/>
      <x:c r="O95" s="22"/>
      <x:c r="P95" s="22"/>
      <x:c r="Q95" s="22"/>
    </x:row>
    <x:row r="96">
      <x:c r="A96" s="22" t="str">
        <x:f>IF(E96="","","RES-"&amp;TEXT(ROW()-2,"0000"))</x:f>
      </x:c>
      <x:c r="B96" s="22"/>
      <x:c r="C96" s="22"/>
      <x:c r="D96" s="22"/>
      <x:c r="E96" s="22"/>
      <x:c r="F96" s="22"/>
      <x:c r="G96" s="22"/>
      <x:c r="H96" s="26"/>
      <x:c r="I96" s="22"/>
      <x:c r="J96" s="22"/>
      <x:c r="K96" s="22"/>
      <x:c r="L96" s="22"/>
      <x:c r="M96" s="22"/>
      <x:c r="N96" s="22"/>
      <x:c r="O96" s="22"/>
      <x:c r="P96" s="22"/>
      <x:c r="Q96" s="22"/>
    </x:row>
    <x:row r="97">
      <x:c r="A97" s="22" t="str">
        <x:f>IF(E97="","","RES-"&amp;TEXT(ROW()-2,"0000"))</x:f>
      </x:c>
      <x:c r="B97" s="22"/>
      <x:c r="C97" s="22"/>
      <x:c r="D97" s="22"/>
      <x:c r="E97" s="22"/>
      <x:c r="F97" s="22"/>
      <x:c r="G97" s="22"/>
      <x:c r="H97" s="26"/>
      <x:c r="I97" s="22"/>
      <x:c r="J97" s="22"/>
      <x:c r="K97" s="22"/>
      <x:c r="L97" s="22"/>
      <x:c r="M97" s="22"/>
      <x:c r="N97" s="22"/>
      <x:c r="O97" s="22"/>
      <x:c r="P97" s="22"/>
      <x:c r="Q97" s="22"/>
    </x:row>
    <x:row r="98">
      <x:c r="A98" s="22" t="str">
        <x:f>IF(E98="","","RES-"&amp;TEXT(ROW()-2,"0000"))</x:f>
      </x:c>
      <x:c r="B98" s="22"/>
      <x:c r="C98" s="22"/>
      <x:c r="D98" s="22"/>
      <x:c r="E98" s="22"/>
      <x:c r="F98" s="22"/>
      <x:c r="G98" s="22"/>
      <x:c r="H98" s="26"/>
      <x:c r="I98" s="22"/>
      <x:c r="J98" s="22"/>
      <x:c r="K98" s="22"/>
      <x:c r="L98" s="22"/>
      <x:c r="M98" s="22"/>
      <x:c r="N98" s="22"/>
      <x:c r="O98" s="22"/>
      <x:c r="P98" s="22"/>
      <x:c r="Q98" s="22"/>
    </x:row>
    <x:row r="99">
      <x:c r="A99" s="22" t="str">
        <x:f>IF(E99="","","RES-"&amp;TEXT(ROW()-2,"0000"))</x:f>
      </x:c>
      <x:c r="B99" s="22"/>
      <x:c r="C99" s="22"/>
      <x:c r="D99" s="22"/>
      <x:c r="E99" s="22"/>
      <x:c r="F99" s="22"/>
      <x:c r="G99" s="22"/>
      <x:c r="H99" s="26"/>
      <x:c r="I99" s="22"/>
      <x:c r="J99" s="22"/>
      <x:c r="K99" s="22"/>
      <x:c r="L99" s="22"/>
      <x:c r="M99" s="22"/>
      <x:c r="N99" s="22"/>
      <x:c r="O99" s="22"/>
      <x:c r="P99" s="22"/>
      <x:c r="Q99" s="22"/>
    </x:row>
    <x:row r="100">
      <x:c r="A100" s="22" t="str">
        <x:f>IF(E100="","","RES-"&amp;TEXT(ROW()-2,"0000"))</x:f>
      </x:c>
      <x:c r="B100" s="22"/>
      <x:c r="C100" s="22"/>
      <x:c r="D100" s="22"/>
      <x:c r="E100" s="22"/>
      <x:c r="F100" s="22"/>
      <x:c r="G100" s="22"/>
      <x:c r="H100" s="26"/>
      <x:c r="I100" s="22"/>
      <x:c r="J100" s="22"/>
      <x:c r="K100" s="22"/>
      <x:c r="L100" s="22"/>
      <x:c r="M100" s="22"/>
      <x:c r="N100" s="22"/>
      <x:c r="O100" s="22"/>
      <x:c r="P100" s="22"/>
      <x:c r="Q100" s="22"/>
    </x:row>
    <x:row r="101">
      <x:c r="A101" s="22" t="str">
        <x:f>IF(E101="","","RES-"&amp;TEXT(ROW()-2,"0000"))</x:f>
      </x:c>
      <x:c r="B101" s="22"/>
      <x:c r="C101" s="22"/>
      <x:c r="D101" s="22"/>
      <x:c r="E101" s="22"/>
      <x:c r="F101" s="22"/>
      <x:c r="G101" s="22"/>
      <x:c r="H101" s="26"/>
      <x:c r="I101" s="22"/>
      <x:c r="J101" s="22"/>
      <x:c r="K101" s="22"/>
      <x:c r="L101" s="22"/>
      <x:c r="M101" s="22"/>
      <x:c r="N101" s="22"/>
      <x:c r="O101" s="22"/>
      <x:c r="P101" s="22"/>
      <x:c r="Q101" s="22"/>
    </x:row>
    <x:row r="102">
      <x:c r="A102" s="22" t="str">
        <x:f>IF(E102="","","RES-"&amp;TEXT(ROW()-2,"0000"))</x:f>
      </x:c>
      <x:c r="B102" s="22"/>
      <x:c r="C102" s="22"/>
      <x:c r="D102" s="22"/>
      <x:c r="E102" s="22"/>
      <x:c r="F102" s="22"/>
      <x:c r="G102" s="22"/>
      <x:c r="H102" s="26"/>
      <x:c r="I102" s="22"/>
      <x:c r="J102" s="22"/>
      <x:c r="K102" s="22"/>
      <x:c r="L102" s="22"/>
      <x:c r="M102" s="22"/>
      <x:c r="N102" s="22"/>
      <x:c r="O102" s="22"/>
      <x:c r="P102" s="22"/>
      <x:c r="Q102" s="22"/>
    </x:row>
    <x:row r="103">
      <x:c r="A103" s="22" t="str">
        <x:f>IF(E103="","","RES-"&amp;TEXT(ROW()-2,"0000"))</x:f>
      </x:c>
      <x:c r="B103" s="22"/>
      <x:c r="C103" s="22"/>
      <x:c r="D103" s="22"/>
      <x:c r="E103" s="22"/>
      <x:c r="F103" s="22"/>
      <x:c r="G103" s="22"/>
      <x:c r="H103" s="26"/>
      <x:c r="I103" s="22"/>
      <x:c r="J103" s="22"/>
      <x:c r="K103" s="22"/>
      <x:c r="L103" s="22"/>
      <x:c r="M103" s="22"/>
      <x:c r="N103" s="22"/>
      <x:c r="O103" s="22"/>
      <x:c r="P103" s="22"/>
      <x:c r="Q103" s="22"/>
    </x:row>
    <x:row r="104">
      <x:c r="A104" s="22" t="str">
        <x:f>IF(E104="","","RES-"&amp;TEXT(ROW()-2,"0000"))</x:f>
      </x:c>
      <x:c r="B104" s="22"/>
      <x:c r="C104" s="22"/>
      <x:c r="D104" s="22"/>
      <x:c r="E104" s="22"/>
      <x:c r="F104" s="22"/>
      <x:c r="G104" s="22"/>
      <x:c r="H104" s="26"/>
      <x:c r="I104" s="22"/>
      <x:c r="J104" s="22"/>
      <x:c r="K104" s="22"/>
      <x:c r="L104" s="22"/>
      <x:c r="M104" s="22"/>
      <x:c r="N104" s="22"/>
      <x:c r="O104" s="22"/>
      <x:c r="P104" s="22"/>
      <x:c r="Q104" s="22"/>
    </x:row>
    <x:row r="105">
      <x:c r="A105" s="22" t="str">
        <x:f>IF(E105="","","RES-"&amp;TEXT(ROW()-2,"0000"))</x:f>
      </x:c>
      <x:c r="B105" s="22"/>
      <x:c r="C105" s="22"/>
      <x:c r="D105" s="22"/>
      <x:c r="E105" s="22"/>
      <x:c r="F105" s="22"/>
      <x:c r="G105" s="22"/>
      <x:c r="H105" s="26"/>
      <x:c r="I105" s="22"/>
      <x:c r="J105" s="22"/>
      <x:c r="K105" s="22"/>
      <x:c r="L105" s="22"/>
      <x:c r="M105" s="22"/>
      <x:c r="N105" s="22"/>
      <x:c r="O105" s="22"/>
      <x:c r="P105" s="22"/>
      <x:c r="Q105" s="22"/>
    </x:row>
    <x:row r="106">
      <x:c r="A106" s="22" t="str">
        <x:f>IF(E106="","","RES-"&amp;TEXT(ROW()-2,"0000"))</x:f>
      </x:c>
      <x:c r="B106" s="22"/>
      <x:c r="C106" s="22"/>
      <x:c r="D106" s="22"/>
      <x:c r="E106" s="22"/>
      <x:c r="F106" s="22"/>
      <x:c r="G106" s="22"/>
      <x:c r="H106" s="26"/>
      <x:c r="I106" s="22"/>
      <x:c r="J106" s="22"/>
      <x:c r="K106" s="22"/>
      <x:c r="L106" s="22"/>
      <x:c r="M106" s="22"/>
      <x:c r="N106" s="22"/>
      <x:c r="O106" s="22"/>
      <x:c r="P106" s="22"/>
      <x:c r="Q106" s="22"/>
    </x:row>
    <x:row r="107">
      <x:c r="A107" s="22" t="str">
        <x:f>IF(E107="","","RES-"&amp;TEXT(ROW()-2,"0000"))</x:f>
      </x:c>
      <x:c r="B107" s="22"/>
      <x:c r="C107" s="22"/>
      <x:c r="D107" s="22"/>
      <x:c r="E107" s="22"/>
      <x:c r="F107" s="22"/>
      <x:c r="G107" s="22"/>
      <x:c r="H107" s="26"/>
      <x:c r="I107" s="22"/>
      <x:c r="J107" s="22"/>
      <x:c r="K107" s="22"/>
      <x:c r="L107" s="22"/>
      <x:c r="M107" s="22"/>
      <x:c r="N107" s="22"/>
      <x:c r="O107" s="22"/>
      <x:c r="P107" s="22"/>
      <x:c r="Q107" s="22"/>
    </x:row>
    <x:row r="108">
      <x:c r="A108" s="22" t="str">
        <x:f>IF(E108="","","RES-"&amp;TEXT(ROW()-2,"0000"))</x:f>
      </x:c>
      <x:c r="B108" s="22"/>
      <x:c r="C108" s="22"/>
      <x:c r="D108" s="22"/>
      <x:c r="E108" s="22"/>
      <x:c r="F108" s="22"/>
      <x:c r="G108" s="22"/>
      <x:c r="H108" s="26"/>
      <x:c r="I108" s="22"/>
      <x:c r="J108" s="22"/>
      <x:c r="K108" s="22"/>
      <x:c r="L108" s="22"/>
      <x:c r="M108" s="22"/>
      <x:c r="N108" s="22"/>
      <x:c r="O108" s="22"/>
      <x:c r="P108" s="22"/>
      <x:c r="Q108" s="22"/>
    </x:row>
    <x:row r="109">
      <x:c r="A109" s="22" t="str">
        <x:f>IF(E109="","","RES-"&amp;TEXT(ROW()-2,"0000"))</x:f>
      </x:c>
      <x:c r="B109" s="22"/>
      <x:c r="C109" s="22"/>
      <x:c r="D109" s="22"/>
      <x:c r="E109" s="22"/>
      <x:c r="F109" s="22"/>
      <x:c r="G109" s="22"/>
      <x:c r="H109" s="26"/>
      <x:c r="I109" s="22"/>
      <x:c r="J109" s="22"/>
      <x:c r="K109" s="22"/>
      <x:c r="L109" s="22"/>
      <x:c r="M109" s="22"/>
      <x:c r="N109" s="22"/>
      <x:c r="O109" s="22"/>
      <x:c r="P109" s="22"/>
      <x:c r="Q109" s="22"/>
    </x:row>
    <x:row r="110">
      <x:c r="A110" s="22" t="str">
        <x:f>IF(E110="","","RES-"&amp;TEXT(ROW()-2,"0000"))</x:f>
      </x:c>
      <x:c r="B110" s="22"/>
      <x:c r="C110" s="22"/>
      <x:c r="D110" s="22"/>
      <x:c r="E110" s="22"/>
      <x:c r="F110" s="22"/>
      <x:c r="G110" s="22"/>
      <x:c r="H110" s="26"/>
      <x:c r="I110" s="22"/>
      <x:c r="J110" s="22"/>
      <x:c r="K110" s="22"/>
      <x:c r="L110" s="22"/>
      <x:c r="M110" s="22"/>
      <x:c r="N110" s="22"/>
      <x:c r="O110" s="22"/>
      <x:c r="P110" s="22"/>
      <x:c r="Q110" s="22"/>
    </x:row>
    <x:row r="111">
      <x:c r="A111" s="22" t="str">
        <x:f>IF(E111="","","RES-"&amp;TEXT(ROW()-2,"0000"))</x:f>
      </x:c>
      <x:c r="B111" s="22"/>
      <x:c r="C111" s="22"/>
      <x:c r="D111" s="22"/>
      <x:c r="E111" s="22"/>
      <x:c r="F111" s="22"/>
      <x:c r="G111" s="22"/>
      <x:c r="H111" s="26"/>
      <x:c r="I111" s="22"/>
      <x:c r="J111" s="22"/>
      <x:c r="K111" s="22"/>
      <x:c r="L111" s="22"/>
      <x:c r="M111" s="22"/>
      <x:c r="N111" s="22"/>
      <x:c r="O111" s="22"/>
      <x:c r="P111" s="22"/>
      <x:c r="Q111" s="22"/>
    </x:row>
    <x:row r="112">
      <x:c r="A112" s="22" t="str">
        <x:f>IF(E112="","","RES-"&amp;TEXT(ROW()-2,"0000"))</x:f>
      </x:c>
      <x:c r="B112" s="22"/>
      <x:c r="C112" s="22"/>
      <x:c r="D112" s="22"/>
      <x:c r="E112" s="22"/>
      <x:c r="F112" s="22"/>
      <x:c r="G112" s="22"/>
      <x:c r="H112" s="26"/>
      <x:c r="I112" s="22"/>
      <x:c r="J112" s="22"/>
      <x:c r="K112" s="22"/>
      <x:c r="L112" s="22"/>
      <x:c r="M112" s="22"/>
      <x:c r="N112" s="22"/>
      <x:c r="O112" s="22"/>
      <x:c r="P112" s="22"/>
      <x:c r="Q112" s="22"/>
    </x:row>
    <x:row r="113">
      <x:c r="A113" s="22" t="str">
        <x:f>IF(E113="","","RES-"&amp;TEXT(ROW()-2,"0000"))</x:f>
      </x:c>
      <x:c r="B113" s="22"/>
      <x:c r="C113" s="22"/>
      <x:c r="D113" s="22"/>
      <x:c r="E113" s="22"/>
      <x:c r="F113" s="22"/>
      <x:c r="G113" s="22"/>
      <x:c r="H113" s="26"/>
      <x:c r="I113" s="22"/>
      <x:c r="J113" s="22"/>
      <x:c r="K113" s="22"/>
      <x:c r="L113" s="22"/>
      <x:c r="M113" s="22"/>
      <x:c r="N113" s="22"/>
      <x:c r="O113" s="22"/>
      <x:c r="P113" s="22"/>
      <x:c r="Q113" s="22"/>
    </x:row>
    <x:row r="114">
      <x:c r="A114" s="22" t="str">
        <x:f>IF(E114="","","RES-"&amp;TEXT(ROW()-2,"0000"))</x:f>
      </x:c>
      <x:c r="B114" s="22"/>
      <x:c r="C114" s="22"/>
      <x:c r="D114" s="22"/>
      <x:c r="E114" s="22"/>
      <x:c r="F114" s="22"/>
      <x:c r="G114" s="22"/>
      <x:c r="H114" s="26"/>
      <x:c r="I114" s="22"/>
      <x:c r="J114" s="22"/>
      <x:c r="K114" s="22"/>
      <x:c r="L114" s="22"/>
      <x:c r="M114" s="22"/>
      <x:c r="N114" s="22"/>
      <x:c r="O114" s="22"/>
      <x:c r="P114" s="22"/>
      <x:c r="Q114" s="22"/>
    </x:row>
    <x:row r="115">
      <x:c r="A115" s="22" t="str">
        <x:f>IF(E115="","","RES-"&amp;TEXT(ROW()-2,"0000"))</x:f>
      </x:c>
      <x:c r="B115" s="22"/>
      <x:c r="C115" s="22"/>
      <x:c r="D115" s="22"/>
      <x:c r="E115" s="22"/>
      <x:c r="F115" s="22"/>
      <x:c r="G115" s="22"/>
      <x:c r="H115" s="26"/>
      <x:c r="I115" s="22"/>
      <x:c r="J115" s="22"/>
      <x:c r="K115" s="22"/>
      <x:c r="L115" s="22"/>
      <x:c r="M115" s="22"/>
      <x:c r="N115" s="22"/>
      <x:c r="O115" s="22"/>
      <x:c r="P115" s="22"/>
      <x:c r="Q115" s="22"/>
    </x:row>
    <x:row r="116">
      <x:c r="A116" s="22" t="str">
        <x:f>IF(E116="","","RES-"&amp;TEXT(ROW()-2,"0000"))</x:f>
      </x:c>
      <x:c r="B116" s="22"/>
      <x:c r="C116" s="22"/>
      <x:c r="D116" s="22"/>
      <x:c r="E116" s="22"/>
      <x:c r="F116" s="22"/>
      <x:c r="G116" s="22"/>
      <x:c r="H116" s="26"/>
      <x:c r="I116" s="22"/>
      <x:c r="J116" s="22"/>
      <x:c r="K116" s="22"/>
      <x:c r="L116" s="22"/>
      <x:c r="M116" s="22"/>
      <x:c r="N116" s="22"/>
      <x:c r="O116" s="22"/>
      <x:c r="P116" s="22"/>
      <x:c r="Q116" s="22"/>
    </x:row>
    <x:row r="117">
      <x:c r="A117" s="22" t="str">
        <x:f>IF(E117="","","RES-"&amp;TEXT(ROW()-2,"0000"))</x:f>
      </x:c>
      <x:c r="B117" s="22"/>
      <x:c r="C117" s="22"/>
      <x:c r="D117" s="22"/>
      <x:c r="E117" s="22"/>
      <x:c r="F117" s="22"/>
      <x:c r="G117" s="22"/>
      <x:c r="H117" s="26"/>
      <x:c r="I117" s="22"/>
      <x:c r="J117" s="22"/>
      <x:c r="K117" s="22"/>
      <x:c r="L117" s="22"/>
      <x:c r="M117" s="22"/>
      <x:c r="N117" s="22"/>
      <x:c r="O117" s="22"/>
      <x:c r="P117" s="22"/>
      <x:c r="Q117" s="22"/>
    </x:row>
    <x:row r="118">
      <x:c r="A118" s="22" t="str">
        <x:f>IF(E118="","","RES-"&amp;TEXT(ROW()-2,"0000"))</x:f>
      </x:c>
      <x:c r="B118" s="22"/>
      <x:c r="C118" s="22"/>
      <x:c r="D118" s="22"/>
      <x:c r="E118" s="22"/>
      <x:c r="F118" s="22"/>
      <x:c r="G118" s="22"/>
      <x:c r="H118" s="26"/>
      <x:c r="I118" s="22"/>
      <x:c r="J118" s="22"/>
      <x:c r="K118" s="22"/>
      <x:c r="L118" s="22"/>
      <x:c r="M118" s="22"/>
      <x:c r="N118" s="22"/>
      <x:c r="O118" s="22"/>
      <x:c r="P118" s="22"/>
      <x:c r="Q118" s="22"/>
    </x:row>
    <x:row r="119">
      <x:c r="A119" s="22" t="str">
        <x:f>IF(E119="","","RES-"&amp;TEXT(ROW()-2,"0000"))</x:f>
      </x:c>
      <x:c r="B119" s="22"/>
      <x:c r="C119" s="22"/>
      <x:c r="D119" s="22"/>
      <x:c r="E119" s="22"/>
      <x:c r="F119" s="22"/>
      <x:c r="G119" s="22"/>
      <x:c r="H119" s="26"/>
      <x:c r="I119" s="22"/>
      <x:c r="J119" s="22"/>
      <x:c r="K119" s="22"/>
      <x:c r="L119" s="22"/>
      <x:c r="M119" s="22"/>
      <x:c r="N119" s="22"/>
      <x:c r="O119" s="22"/>
      <x:c r="P119" s="22"/>
      <x:c r="Q119" s="22"/>
    </x:row>
    <x:row r="120">
      <x:c r="A120" s="22" t="str">
        <x:f>IF(E120="","","RES-"&amp;TEXT(ROW()-2,"0000"))</x:f>
      </x:c>
      <x:c r="B120" s="22"/>
      <x:c r="C120" s="22"/>
      <x:c r="D120" s="22"/>
      <x:c r="E120" s="22"/>
      <x:c r="F120" s="22"/>
      <x:c r="G120" s="22"/>
      <x:c r="H120" s="26"/>
      <x:c r="I120" s="22"/>
      <x:c r="J120" s="22"/>
      <x:c r="K120" s="22"/>
      <x:c r="L120" s="22"/>
      <x:c r="M120" s="22"/>
      <x:c r="N120" s="22"/>
      <x:c r="O120" s="22"/>
      <x:c r="P120" s="22"/>
      <x:c r="Q120" s="22"/>
    </x:row>
    <x:row r="121">
      <x:c r="A121" s="22" t="str">
        <x:f>IF(E121="","","RES-"&amp;TEXT(ROW()-2,"0000"))</x:f>
      </x:c>
      <x:c r="B121" s="22"/>
      <x:c r="C121" s="22"/>
      <x:c r="D121" s="22"/>
      <x:c r="E121" s="22"/>
      <x:c r="F121" s="22"/>
      <x:c r="G121" s="22"/>
      <x:c r="H121" s="26"/>
      <x:c r="I121" s="22"/>
      <x:c r="J121" s="22"/>
      <x:c r="K121" s="22"/>
      <x:c r="L121" s="22"/>
      <x:c r="M121" s="22"/>
      <x:c r="N121" s="22"/>
      <x:c r="O121" s="22"/>
      <x:c r="P121" s="22"/>
      <x:c r="Q121" s="22"/>
    </x:row>
    <x:row r="122">
      <x:c r="A122" s="22" t="str">
        <x:f>IF(E122="","","RES-"&amp;TEXT(ROW()-2,"0000"))</x:f>
      </x:c>
      <x:c r="B122" s="22"/>
      <x:c r="C122" s="22"/>
      <x:c r="D122" s="22"/>
      <x:c r="E122" s="22"/>
      <x:c r="F122" s="22"/>
      <x:c r="G122" s="22"/>
      <x:c r="H122" s="26"/>
      <x:c r="I122" s="22"/>
      <x:c r="J122" s="22"/>
      <x:c r="K122" s="22"/>
      <x:c r="L122" s="22"/>
      <x:c r="M122" s="22"/>
      <x:c r="N122" s="22"/>
      <x:c r="O122" s="22"/>
      <x:c r="P122" s="22"/>
      <x:c r="Q122" s="22"/>
    </x:row>
    <x:row r="123">
      <x:c r="A123" s="22" t="str">
        <x:f>IF(E123="","","RES-"&amp;TEXT(ROW()-2,"0000"))</x:f>
      </x:c>
      <x:c r="B123" s="22"/>
      <x:c r="C123" s="22"/>
      <x:c r="D123" s="22"/>
      <x:c r="E123" s="22"/>
      <x:c r="F123" s="22"/>
      <x:c r="G123" s="22"/>
      <x:c r="H123" s="26"/>
      <x:c r="I123" s="22"/>
      <x:c r="J123" s="22"/>
      <x:c r="K123" s="22"/>
      <x:c r="L123" s="22"/>
      <x:c r="M123" s="22"/>
      <x:c r="N123" s="22"/>
      <x:c r="O123" s="22"/>
      <x:c r="P123" s="22"/>
      <x:c r="Q123" s="22"/>
    </x:row>
    <x:row r="124">
      <x:c r="A124" s="22" t="str">
        <x:f>IF(E124="","","RES-"&amp;TEXT(ROW()-2,"0000"))</x:f>
      </x:c>
      <x:c r="B124" s="22"/>
      <x:c r="C124" s="22"/>
      <x:c r="D124" s="22"/>
      <x:c r="E124" s="22"/>
      <x:c r="F124" s="22"/>
      <x:c r="G124" s="22"/>
      <x:c r="H124" s="26"/>
      <x:c r="I124" s="22"/>
      <x:c r="J124" s="22"/>
      <x:c r="K124" s="22"/>
      <x:c r="L124" s="22"/>
      <x:c r="M124" s="22"/>
      <x:c r="N124" s="22"/>
      <x:c r="O124" s="22"/>
      <x:c r="P124" s="22"/>
      <x:c r="Q124" s="22"/>
    </x:row>
    <x:row r="125">
      <x:c r="A125" s="22" t="str">
        <x:f>IF(E125="","","RES-"&amp;TEXT(ROW()-2,"0000"))</x:f>
      </x:c>
      <x:c r="B125" s="22"/>
      <x:c r="C125" s="22"/>
      <x:c r="D125" s="22"/>
      <x:c r="E125" s="22"/>
      <x:c r="F125" s="22"/>
      <x:c r="G125" s="22"/>
      <x:c r="H125" s="26"/>
      <x:c r="I125" s="22"/>
      <x:c r="J125" s="22"/>
      <x:c r="K125" s="22"/>
      <x:c r="L125" s="22"/>
      <x:c r="M125" s="22"/>
      <x:c r="N125" s="22"/>
      <x:c r="O125" s="22"/>
      <x:c r="P125" s="22"/>
      <x:c r="Q125" s="22"/>
    </x:row>
    <x:row r="126">
      <x:c r="A126" s="22" t="str">
        <x:f>IF(E126="","","RES-"&amp;TEXT(ROW()-2,"0000"))</x:f>
      </x:c>
      <x:c r="B126" s="22"/>
      <x:c r="C126" s="22"/>
      <x:c r="D126" s="22"/>
      <x:c r="E126" s="22"/>
      <x:c r="F126" s="22"/>
      <x:c r="G126" s="22"/>
      <x:c r="H126" s="26"/>
      <x:c r="I126" s="22"/>
      <x:c r="J126" s="22"/>
      <x:c r="K126" s="22"/>
      <x:c r="L126" s="22"/>
      <x:c r="M126" s="22"/>
      <x:c r="N126" s="22"/>
      <x:c r="O126" s="22"/>
      <x:c r="P126" s="22"/>
      <x:c r="Q126" s="22"/>
    </x:row>
    <x:row r="127">
      <x:c r="A127" s="22" t="str">
        <x:f>IF(E127="","","RES-"&amp;TEXT(ROW()-2,"0000"))</x:f>
      </x:c>
      <x:c r="B127" s="22"/>
      <x:c r="C127" s="22"/>
      <x:c r="D127" s="22"/>
      <x:c r="E127" s="22"/>
      <x:c r="F127" s="22"/>
      <x:c r="G127" s="22"/>
      <x:c r="H127" s="26"/>
      <x:c r="I127" s="22"/>
      <x:c r="J127" s="22"/>
      <x:c r="K127" s="22"/>
      <x:c r="L127" s="22"/>
      <x:c r="M127" s="22"/>
      <x:c r="N127" s="22"/>
      <x:c r="O127" s="22"/>
      <x:c r="P127" s="22"/>
      <x:c r="Q127" s="22"/>
    </x:row>
    <x:row r="128">
      <x:c r="A128" s="22" t="str">
        <x:f>IF(E128="","","RES-"&amp;TEXT(ROW()-2,"0000"))</x:f>
      </x:c>
      <x:c r="B128" s="22"/>
      <x:c r="C128" s="22"/>
      <x:c r="D128" s="22"/>
      <x:c r="E128" s="22"/>
      <x:c r="F128" s="22"/>
      <x:c r="G128" s="22"/>
      <x:c r="H128" s="26"/>
      <x:c r="I128" s="22"/>
      <x:c r="J128" s="22"/>
      <x:c r="K128" s="22"/>
      <x:c r="L128" s="22"/>
      <x:c r="M128" s="22"/>
      <x:c r="N128" s="22"/>
      <x:c r="O128" s="22"/>
      <x:c r="P128" s="22"/>
      <x:c r="Q128" s="22"/>
    </x:row>
    <x:row r="129">
      <x:c r="A129" s="22" t="str">
        <x:f>IF(E129="","","RES-"&amp;TEXT(ROW()-2,"0000"))</x:f>
      </x:c>
      <x:c r="B129" s="22"/>
      <x:c r="C129" s="22"/>
      <x:c r="D129" s="22"/>
      <x:c r="E129" s="22"/>
      <x:c r="F129" s="22"/>
      <x:c r="G129" s="22"/>
      <x:c r="H129" s="26"/>
      <x:c r="I129" s="22"/>
      <x:c r="J129" s="22"/>
      <x:c r="K129" s="22"/>
      <x:c r="L129" s="22"/>
      <x:c r="M129" s="22"/>
      <x:c r="N129" s="22"/>
      <x:c r="O129" s="22"/>
      <x:c r="P129" s="22"/>
      <x:c r="Q129" s="22"/>
    </x:row>
    <x:row r="130">
      <x:c r="A130" s="22" t="str">
        <x:f>IF(E130="","","RES-"&amp;TEXT(ROW()-2,"0000"))</x:f>
      </x:c>
      <x:c r="B130" s="22"/>
      <x:c r="C130" s="22"/>
      <x:c r="D130" s="22"/>
      <x:c r="E130" s="22"/>
      <x:c r="F130" s="22"/>
      <x:c r="G130" s="22"/>
      <x:c r="H130" s="26"/>
      <x:c r="I130" s="22"/>
      <x:c r="J130" s="22"/>
      <x:c r="K130" s="22"/>
      <x:c r="L130" s="22"/>
      <x:c r="M130" s="22"/>
      <x:c r="N130" s="22"/>
      <x:c r="O130" s="22"/>
      <x:c r="P130" s="22"/>
      <x:c r="Q130" s="22"/>
    </x:row>
    <x:row r="131">
      <x:c r="A131" s="22" t="str">
        <x:f>IF(E131="","","RES-"&amp;TEXT(ROW()-2,"0000"))</x:f>
      </x:c>
      <x:c r="B131" s="22"/>
      <x:c r="C131" s="22"/>
      <x:c r="D131" s="22"/>
      <x:c r="E131" s="22"/>
      <x:c r="F131" s="22"/>
      <x:c r="G131" s="22"/>
      <x:c r="H131" s="26"/>
      <x:c r="I131" s="22"/>
      <x:c r="J131" s="22"/>
      <x:c r="K131" s="22"/>
      <x:c r="L131" s="22"/>
      <x:c r="M131" s="22"/>
      <x:c r="N131" s="22"/>
      <x:c r="O131" s="22"/>
      <x:c r="P131" s="22"/>
      <x:c r="Q131" s="22"/>
    </x:row>
    <x:row r="132">
      <x:c r="A132" s="22" t="str">
        <x:f>IF(E132="","","RES-"&amp;TEXT(ROW()-2,"0000"))</x:f>
      </x:c>
      <x:c r="B132" s="22"/>
      <x:c r="C132" s="22"/>
      <x:c r="D132" s="22"/>
      <x:c r="E132" s="22"/>
      <x:c r="F132" s="22"/>
      <x:c r="G132" s="22"/>
      <x:c r="H132" s="26"/>
      <x:c r="I132" s="22"/>
      <x:c r="J132" s="22"/>
      <x:c r="K132" s="22"/>
      <x:c r="L132" s="22"/>
      <x:c r="M132" s="22"/>
      <x:c r="N132" s="22"/>
      <x:c r="O132" s="22"/>
      <x:c r="P132" s="22"/>
      <x:c r="Q132" s="22"/>
    </x:row>
    <x:row r="133">
      <x:c r="A133" s="22" t="str">
        <x:f>IF(E133="","","RES-"&amp;TEXT(ROW()-2,"0000"))</x:f>
      </x:c>
      <x:c r="B133" s="22"/>
      <x:c r="C133" s="22"/>
      <x:c r="D133" s="22"/>
      <x:c r="E133" s="22"/>
      <x:c r="F133" s="22"/>
      <x:c r="G133" s="22"/>
      <x:c r="H133" s="26"/>
      <x:c r="I133" s="22"/>
      <x:c r="J133" s="22"/>
      <x:c r="K133" s="22"/>
      <x:c r="L133" s="22"/>
      <x:c r="M133" s="22"/>
      <x:c r="N133" s="22"/>
      <x:c r="O133" s="22"/>
      <x:c r="P133" s="22"/>
      <x:c r="Q133" s="22"/>
    </x:row>
    <x:row r="134">
      <x:c r="A134" s="22" t="str">
        <x:f>IF(E134="","","RES-"&amp;TEXT(ROW()-2,"0000"))</x:f>
      </x:c>
      <x:c r="B134" s="22"/>
      <x:c r="C134" s="22"/>
      <x:c r="D134" s="22"/>
      <x:c r="E134" s="22"/>
      <x:c r="F134" s="22"/>
      <x:c r="G134" s="22"/>
      <x:c r="H134" s="26"/>
      <x:c r="I134" s="22"/>
      <x:c r="J134" s="22"/>
      <x:c r="K134" s="22"/>
      <x:c r="L134" s="22"/>
      <x:c r="M134" s="22"/>
      <x:c r="N134" s="22"/>
      <x:c r="O134" s="22"/>
      <x:c r="P134" s="22"/>
      <x:c r="Q134" s="22"/>
    </x:row>
    <x:row r="135">
      <x:c r="A135" s="22" t="str">
        <x:f>IF(E135="","","RES-"&amp;TEXT(ROW()-2,"0000"))</x:f>
      </x:c>
      <x:c r="B135" s="22"/>
      <x:c r="C135" s="22"/>
      <x:c r="D135" s="22"/>
      <x:c r="E135" s="22"/>
      <x:c r="F135" s="22"/>
      <x:c r="G135" s="22"/>
      <x:c r="H135" s="26"/>
      <x:c r="I135" s="22"/>
      <x:c r="J135" s="22"/>
      <x:c r="K135" s="22"/>
      <x:c r="L135" s="22"/>
      <x:c r="M135" s="22"/>
      <x:c r="N135" s="22"/>
      <x:c r="O135" s="22"/>
      <x:c r="P135" s="22"/>
      <x:c r="Q135" s="22"/>
    </x:row>
    <x:row r="136">
      <x:c r="A136" s="22" t="str">
        <x:f>IF(E136="","","RES-"&amp;TEXT(ROW()-2,"0000"))</x:f>
      </x:c>
      <x:c r="B136" s="22"/>
      <x:c r="C136" s="22"/>
      <x:c r="D136" s="22"/>
      <x:c r="E136" s="22"/>
      <x:c r="F136" s="22"/>
      <x:c r="G136" s="22"/>
      <x:c r="H136" s="26"/>
      <x:c r="I136" s="22"/>
      <x:c r="J136" s="22"/>
      <x:c r="K136" s="22"/>
      <x:c r="L136" s="22"/>
      <x:c r="M136" s="22"/>
      <x:c r="N136" s="22"/>
      <x:c r="O136" s="22"/>
      <x:c r="P136" s="22"/>
      <x:c r="Q136" s="22"/>
    </x:row>
    <x:row r="137">
      <x:c r="A137" s="22" t="str">
        <x:f>IF(E137="","","RES-"&amp;TEXT(ROW()-2,"0000"))</x:f>
      </x:c>
      <x:c r="B137" s="22"/>
      <x:c r="C137" s="22"/>
      <x:c r="D137" s="22"/>
      <x:c r="E137" s="22"/>
      <x:c r="F137" s="22"/>
      <x:c r="G137" s="22"/>
      <x:c r="H137" s="26"/>
      <x:c r="I137" s="22"/>
      <x:c r="J137" s="22"/>
      <x:c r="K137" s="22"/>
      <x:c r="L137" s="22"/>
      <x:c r="M137" s="22"/>
      <x:c r="N137" s="22"/>
      <x:c r="O137" s="22"/>
      <x:c r="P137" s="22"/>
      <x:c r="Q137" s="22"/>
    </x:row>
    <x:row r="138">
      <x:c r="A138" s="22" t="str">
        <x:f>IF(E138="","","RES-"&amp;TEXT(ROW()-2,"0000"))</x:f>
      </x:c>
      <x:c r="B138" s="22"/>
      <x:c r="C138" s="22"/>
      <x:c r="D138" s="22"/>
      <x:c r="E138" s="22"/>
      <x:c r="F138" s="22"/>
      <x:c r="G138" s="22"/>
      <x:c r="H138" s="26"/>
      <x:c r="I138" s="22"/>
      <x:c r="J138" s="22"/>
      <x:c r="K138" s="22"/>
      <x:c r="L138" s="22"/>
      <x:c r="M138" s="22"/>
      <x:c r="N138" s="22"/>
      <x:c r="O138" s="22"/>
      <x:c r="P138" s="22"/>
      <x:c r="Q138" s="22"/>
    </x:row>
    <x:row r="139">
      <x:c r="A139" s="22" t="str">
        <x:f>IF(E139="","","RES-"&amp;TEXT(ROW()-2,"0000"))</x:f>
      </x:c>
      <x:c r="B139" s="22"/>
      <x:c r="C139" s="22"/>
      <x:c r="D139" s="22"/>
      <x:c r="E139" s="22"/>
      <x:c r="F139" s="22"/>
      <x:c r="G139" s="22"/>
      <x:c r="H139" s="26"/>
      <x:c r="I139" s="22"/>
      <x:c r="J139" s="22"/>
      <x:c r="K139" s="22"/>
      <x:c r="L139" s="22"/>
      <x:c r="M139" s="22"/>
      <x:c r="N139" s="22"/>
      <x:c r="O139" s="22"/>
      <x:c r="P139" s="22"/>
      <x:c r="Q139" s="22"/>
    </x:row>
    <x:row r="140">
      <x:c r="A140" s="22" t="str">
        <x:f>IF(E140="","","RES-"&amp;TEXT(ROW()-2,"0000"))</x:f>
      </x:c>
      <x:c r="B140" s="22"/>
      <x:c r="C140" s="22"/>
      <x:c r="D140" s="22"/>
      <x:c r="E140" s="22"/>
      <x:c r="F140" s="22"/>
      <x:c r="G140" s="22"/>
      <x:c r="H140" s="26"/>
      <x:c r="I140" s="22"/>
      <x:c r="J140" s="22"/>
      <x:c r="K140" s="22"/>
      <x:c r="L140" s="22"/>
      <x:c r="M140" s="22"/>
      <x:c r="N140" s="22"/>
      <x:c r="O140" s="22"/>
      <x:c r="P140" s="22"/>
      <x:c r="Q140" s="22"/>
    </x:row>
    <x:row r="141">
      <x:c r="A141" s="22" t="str">
        <x:f>IF(E141="","","RES-"&amp;TEXT(ROW()-2,"0000"))</x:f>
      </x:c>
      <x:c r="B141" s="22"/>
      <x:c r="C141" s="22"/>
      <x:c r="D141" s="22"/>
      <x:c r="E141" s="22"/>
      <x:c r="F141" s="22"/>
      <x:c r="G141" s="22"/>
      <x:c r="H141" s="26"/>
      <x:c r="I141" s="22"/>
      <x:c r="J141" s="22"/>
      <x:c r="K141" s="22"/>
      <x:c r="L141" s="22"/>
      <x:c r="M141" s="22"/>
      <x:c r="N141" s="22"/>
      <x:c r="O141" s="22"/>
      <x:c r="P141" s="22"/>
      <x:c r="Q141" s="22"/>
    </x:row>
    <x:row r="142">
      <x:c r="A142" s="22" t="str">
        <x:f>IF(E142="","","RES-"&amp;TEXT(ROW()-2,"0000"))</x:f>
      </x:c>
      <x:c r="B142" s="22"/>
      <x:c r="C142" s="22"/>
      <x:c r="D142" s="22"/>
      <x:c r="E142" s="22"/>
      <x:c r="F142" s="22"/>
      <x:c r="G142" s="22"/>
      <x:c r="H142" s="26"/>
      <x:c r="I142" s="22"/>
      <x:c r="J142" s="22"/>
      <x:c r="K142" s="22"/>
      <x:c r="L142" s="22"/>
      <x:c r="M142" s="22"/>
      <x:c r="N142" s="22"/>
      <x:c r="O142" s="22"/>
      <x:c r="P142" s="22"/>
      <x:c r="Q142" s="22"/>
    </x:row>
    <x:row r="143">
      <x:c r="A143" s="22" t="str">
        <x:f>IF(E143="","","RES-"&amp;TEXT(ROW()-2,"0000"))</x:f>
      </x:c>
      <x:c r="B143" s="22"/>
      <x:c r="C143" s="22"/>
      <x:c r="D143" s="22"/>
      <x:c r="E143" s="22"/>
      <x:c r="F143" s="22"/>
      <x:c r="G143" s="22"/>
      <x:c r="H143" s="26"/>
      <x:c r="I143" s="22"/>
      <x:c r="J143" s="22"/>
      <x:c r="K143" s="22"/>
      <x:c r="L143" s="22"/>
      <x:c r="M143" s="22"/>
      <x:c r="N143" s="22"/>
      <x:c r="O143" s="22"/>
      <x:c r="P143" s="22"/>
      <x:c r="Q143" s="22"/>
    </x:row>
    <x:row r="144">
      <x:c r="A144" s="22" t="str">
        <x:f>IF(E144="","","RES-"&amp;TEXT(ROW()-2,"0000"))</x:f>
      </x:c>
      <x:c r="B144" s="22"/>
      <x:c r="C144" s="22"/>
      <x:c r="D144" s="22"/>
      <x:c r="E144" s="22"/>
      <x:c r="F144" s="22"/>
      <x:c r="G144" s="22"/>
      <x:c r="H144" s="26"/>
      <x:c r="I144" s="22"/>
      <x:c r="J144" s="22"/>
      <x:c r="K144" s="22"/>
      <x:c r="L144" s="22"/>
      <x:c r="M144" s="22"/>
      <x:c r="N144" s="22"/>
      <x:c r="O144" s="22"/>
      <x:c r="P144" s="22"/>
      <x:c r="Q144" s="22"/>
    </x:row>
    <x:row r="145">
      <x:c r="A145" s="22" t="str">
        <x:f>IF(E145="","","RES-"&amp;TEXT(ROW()-2,"0000"))</x:f>
      </x:c>
      <x:c r="B145" s="22"/>
      <x:c r="C145" s="22"/>
      <x:c r="D145" s="22"/>
      <x:c r="E145" s="22"/>
      <x:c r="F145" s="22"/>
      <x:c r="G145" s="22"/>
      <x:c r="H145" s="26"/>
      <x:c r="I145" s="22"/>
      <x:c r="J145" s="22"/>
      <x:c r="K145" s="22"/>
      <x:c r="L145" s="22"/>
      <x:c r="M145" s="22"/>
      <x:c r="N145" s="22"/>
      <x:c r="O145" s="22"/>
      <x:c r="P145" s="22"/>
      <x:c r="Q145" s="22"/>
    </x:row>
    <x:row r="146">
      <x:c r="A146" s="22" t="str">
        <x:f>IF(E146="","","RES-"&amp;TEXT(ROW()-2,"0000"))</x:f>
      </x:c>
      <x:c r="B146" s="22"/>
      <x:c r="C146" s="22"/>
      <x:c r="D146" s="22"/>
      <x:c r="E146" s="22"/>
      <x:c r="F146" s="22"/>
      <x:c r="G146" s="22"/>
      <x:c r="H146" s="26"/>
      <x:c r="I146" s="22"/>
      <x:c r="J146" s="22"/>
      <x:c r="K146" s="22"/>
      <x:c r="L146" s="22"/>
      <x:c r="M146" s="22"/>
      <x:c r="N146" s="22"/>
      <x:c r="O146" s="22"/>
      <x:c r="P146" s="22"/>
      <x:c r="Q146" s="22"/>
    </x:row>
    <x:row r="147">
      <x:c r="A147" s="22" t="str">
        <x:f>IF(E147="","","RES-"&amp;TEXT(ROW()-2,"0000"))</x:f>
      </x:c>
      <x:c r="B147" s="22"/>
      <x:c r="C147" s="22"/>
      <x:c r="D147" s="22"/>
      <x:c r="E147" s="22"/>
      <x:c r="F147" s="22"/>
      <x:c r="G147" s="22"/>
      <x:c r="H147" s="26"/>
      <x:c r="I147" s="22"/>
      <x:c r="J147" s="22"/>
      <x:c r="K147" s="22"/>
      <x:c r="L147" s="22"/>
      <x:c r="M147" s="22"/>
      <x:c r="N147" s="22"/>
      <x:c r="O147" s="22"/>
      <x:c r="P147" s="22"/>
      <x:c r="Q147" s="22"/>
    </x:row>
    <x:row r="148">
      <x:c r="A148" s="22" t="str">
        <x:f>IF(E148="","","RES-"&amp;TEXT(ROW()-2,"0000"))</x:f>
      </x:c>
      <x:c r="B148" s="22"/>
      <x:c r="C148" s="22"/>
      <x:c r="D148" s="22"/>
      <x:c r="E148" s="22"/>
      <x:c r="F148" s="22"/>
      <x:c r="G148" s="22"/>
      <x:c r="H148" s="26"/>
      <x:c r="I148" s="22"/>
      <x:c r="J148" s="22"/>
      <x:c r="K148" s="22"/>
      <x:c r="L148" s="22"/>
      <x:c r="M148" s="22"/>
      <x:c r="N148" s="22"/>
      <x:c r="O148" s="22"/>
      <x:c r="P148" s="22"/>
      <x:c r="Q148" s="22"/>
    </x:row>
    <x:row r="149">
      <x:c r="A149" s="22" t="str">
        <x:f>IF(E149="","","RES-"&amp;TEXT(ROW()-2,"0000"))</x:f>
      </x:c>
      <x:c r="B149" s="22"/>
      <x:c r="C149" s="22"/>
      <x:c r="D149" s="22"/>
      <x:c r="E149" s="22"/>
      <x:c r="F149" s="22"/>
      <x:c r="G149" s="22"/>
      <x:c r="H149" s="26"/>
      <x:c r="I149" s="22"/>
      <x:c r="J149" s="22"/>
      <x:c r="K149" s="22"/>
      <x:c r="L149" s="22"/>
      <x:c r="M149" s="22"/>
      <x:c r="N149" s="22"/>
      <x:c r="O149" s="22"/>
      <x:c r="P149" s="22"/>
      <x:c r="Q149" s="22"/>
    </x:row>
    <x:row r="150">
      <x:c r="A150" s="22" t="str">
        <x:f>IF(E150="","","RES-"&amp;TEXT(ROW()-2,"0000"))</x:f>
      </x:c>
      <x:c r="B150" s="22"/>
      <x:c r="C150" s="22"/>
      <x:c r="D150" s="22"/>
      <x:c r="E150" s="22"/>
      <x:c r="F150" s="22"/>
      <x:c r="G150" s="22"/>
      <x:c r="H150" s="26"/>
      <x:c r="I150" s="22"/>
      <x:c r="J150" s="22"/>
      <x:c r="K150" s="22"/>
      <x:c r="L150" s="22"/>
      <x:c r="M150" s="22"/>
      <x:c r="N150" s="22"/>
      <x:c r="O150" s="22"/>
      <x:c r="P150" s="22"/>
      <x:c r="Q150" s="22"/>
    </x:row>
    <x:row r="151">
      <x:c r="A151" s="22" t="str">
        <x:f>IF(E151="","","RES-"&amp;TEXT(ROW()-2,"0000"))</x:f>
      </x:c>
      <x:c r="B151" s="22"/>
      <x:c r="C151" s="22"/>
      <x:c r="D151" s="22"/>
      <x:c r="E151" s="22"/>
      <x:c r="F151" s="22"/>
      <x:c r="G151" s="22"/>
      <x:c r="H151" s="26"/>
      <x:c r="I151" s="22"/>
      <x:c r="J151" s="22"/>
      <x:c r="K151" s="22"/>
      <x:c r="L151" s="22"/>
      <x:c r="M151" s="22"/>
      <x:c r="N151" s="22"/>
      <x:c r="O151" s="22"/>
      <x:c r="P151" s="22"/>
      <x:c r="Q151" s="22"/>
    </x:row>
    <x:row r="152">
      <x:c r="A152" s="22" t="str">
        <x:f>IF(E152="","","RES-"&amp;TEXT(ROW()-2,"0000"))</x:f>
      </x:c>
      <x:c r="B152" s="22"/>
      <x:c r="C152" s="22"/>
      <x:c r="D152" s="22"/>
      <x:c r="E152" s="22"/>
      <x:c r="F152" s="22"/>
      <x:c r="G152" s="22"/>
      <x:c r="H152" s="26"/>
      <x:c r="I152" s="22"/>
      <x:c r="J152" s="22"/>
      <x:c r="K152" s="22"/>
      <x:c r="L152" s="22"/>
      <x:c r="M152" s="22"/>
      <x:c r="N152" s="22"/>
      <x:c r="O152" s="22"/>
      <x:c r="P152" s="22"/>
      <x:c r="Q152" s="22"/>
    </x:row>
    <x:row r="153">
      <x:c r="A153" s="22" t="str">
        <x:f>IF(E153="","","RES-"&amp;TEXT(ROW()-2,"0000"))</x:f>
      </x:c>
      <x:c r="B153" s="22"/>
      <x:c r="C153" s="22"/>
      <x:c r="D153" s="22"/>
      <x:c r="E153" s="22"/>
      <x:c r="F153" s="22"/>
      <x:c r="G153" s="22"/>
      <x:c r="H153" s="26"/>
      <x:c r="I153" s="22"/>
      <x:c r="J153" s="22"/>
      <x:c r="K153" s="22"/>
      <x:c r="L153" s="22"/>
      <x:c r="M153" s="22"/>
      <x:c r="N153" s="22"/>
      <x:c r="O153" s="22"/>
      <x:c r="P153" s="22"/>
      <x:c r="Q153" s="22"/>
    </x:row>
    <x:row r="154">
      <x:c r="A154" s="22" t="str">
        <x:f>IF(E154="","","RES-"&amp;TEXT(ROW()-2,"0000"))</x:f>
      </x:c>
      <x:c r="B154" s="22"/>
      <x:c r="C154" s="22"/>
      <x:c r="D154" s="22"/>
      <x:c r="E154" s="22"/>
      <x:c r="F154" s="22"/>
      <x:c r="G154" s="22"/>
      <x:c r="H154" s="26"/>
      <x:c r="I154" s="22"/>
      <x:c r="J154" s="22"/>
      <x:c r="K154" s="22"/>
      <x:c r="L154" s="22"/>
      <x:c r="M154" s="22"/>
      <x:c r="N154" s="22"/>
      <x:c r="O154" s="22"/>
      <x:c r="P154" s="22"/>
      <x:c r="Q154" s="22"/>
    </x:row>
    <x:row r="155">
      <x:c r="A155" s="22" t="str">
        <x:f>IF(E155="","","RES-"&amp;TEXT(ROW()-2,"0000"))</x:f>
      </x:c>
      <x:c r="B155" s="22"/>
      <x:c r="C155" s="22"/>
      <x:c r="D155" s="22"/>
      <x:c r="E155" s="22"/>
      <x:c r="F155" s="22"/>
      <x:c r="G155" s="22"/>
      <x:c r="H155" s="26"/>
      <x:c r="I155" s="22"/>
      <x:c r="J155" s="22"/>
      <x:c r="K155" s="22"/>
      <x:c r="L155" s="22"/>
      <x:c r="M155" s="22"/>
      <x:c r="N155" s="22"/>
      <x:c r="O155" s="22"/>
      <x:c r="P155" s="22"/>
      <x:c r="Q155" s="22"/>
    </x:row>
    <x:row r="156">
      <x:c r="A156" s="22" t="str">
        <x:f>IF(E156="","","RES-"&amp;TEXT(ROW()-2,"0000"))</x:f>
      </x:c>
      <x:c r="B156" s="22"/>
      <x:c r="C156" s="22"/>
      <x:c r="D156" s="22"/>
      <x:c r="E156" s="22"/>
      <x:c r="F156" s="22"/>
      <x:c r="G156" s="22"/>
      <x:c r="H156" s="26"/>
      <x:c r="I156" s="22"/>
      <x:c r="J156" s="22"/>
      <x:c r="K156" s="22"/>
      <x:c r="L156" s="22"/>
      <x:c r="M156" s="22"/>
      <x:c r="N156" s="22"/>
      <x:c r="O156" s="22"/>
      <x:c r="P156" s="22"/>
      <x:c r="Q156" s="22"/>
    </x:row>
    <x:row r="157">
      <x:c r="A157" s="22" t="str">
        <x:f>IF(E157="","","RES-"&amp;TEXT(ROW()-2,"0000"))</x:f>
      </x:c>
      <x:c r="B157" s="22"/>
      <x:c r="C157" s="22"/>
      <x:c r="D157" s="22"/>
      <x:c r="E157" s="22"/>
      <x:c r="F157" s="22"/>
      <x:c r="G157" s="22"/>
      <x:c r="H157" s="26"/>
      <x:c r="I157" s="22"/>
      <x:c r="J157" s="22"/>
      <x:c r="K157" s="22"/>
      <x:c r="L157" s="22"/>
      <x:c r="M157" s="22"/>
      <x:c r="N157" s="22"/>
      <x:c r="O157" s="22"/>
      <x:c r="P157" s="22"/>
      <x:c r="Q157" s="22"/>
    </x:row>
    <x:row r="158">
      <x:c r="A158" s="22" t="str">
        <x:f>IF(E158="","","RES-"&amp;TEXT(ROW()-2,"0000"))</x:f>
      </x:c>
      <x:c r="B158" s="22"/>
      <x:c r="C158" s="22"/>
      <x:c r="D158" s="22"/>
      <x:c r="E158" s="22"/>
      <x:c r="F158" s="22"/>
      <x:c r="G158" s="22"/>
      <x:c r="H158" s="26"/>
      <x:c r="I158" s="22"/>
      <x:c r="J158" s="22"/>
      <x:c r="K158" s="22"/>
      <x:c r="L158" s="22"/>
      <x:c r="M158" s="22"/>
      <x:c r="N158" s="22"/>
      <x:c r="O158" s="22"/>
      <x:c r="P158" s="22"/>
      <x:c r="Q158" s="22"/>
    </x:row>
    <x:row r="159">
      <x:c r="A159" s="22" t="str">
        <x:f>IF(E159="","","RES-"&amp;TEXT(ROW()-2,"0000"))</x:f>
      </x:c>
      <x:c r="B159" s="22"/>
      <x:c r="C159" s="22"/>
      <x:c r="D159" s="22"/>
      <x:c r="E159" s="22"/>
      <x:c r="F159" s="22"/>
      <x:c r="G159" s="22"/>
      <x:c r="H159" s="26"/>
      <x:c r="I159" s="22"/>
      <x:c r="J159" s="22"/>
      <x:c r="K159" s="22"/>
      <x:c r="L159" s="22"/>
      <x:c r="M159" s="22"/>
      <x:c r="N159" s="22"/>
      <x:c r="O159" s="22"/>
      <x:c r="P159" s="22"/>
      <x:c r="Q159" s="22"/>
    </x:row>
    <x:row r="160">
      <x:c r="A160" s="22" t="str">
        <x:f>IF(E160="","","RES-"&amp;TEXT(ROW()-2,"0000"))</x:f>
      </x:c>
      <x:c r="B160" s="22"/>
      <x:c r="C160" s="22"/>
      <x:c r="D160" s="22"/>
      <x:c r="E160" s="22"/>
      <x:c r="F160" s="22"/>
      <x:c r="G160" s="22"/>
      <x:c r="H160" s="26"/>
      <x:c r="I160" s="22"/>
      <x:c r="J160" s="22"/>
      <x:c r="K160" s="22"/>
      <x:c r="L160" s="22"/>
      <x:c r="M160" s="22"/>
      <x:c r="N160" s="22"/>
      <x:c r="O160" s="22"/>
      <x:c r="P160" s="22"/>
      <x:c r="Q160" s="22"/>
    </x:row>
    <x:row r="161">
      <x:c r="A161" s="22" t="str">
        <x:f>IF(E161="","","RES-"&amp;TEXT(ROW()-2,"0000"))</x:f>
      </x:c>
      <x:c r="B161" s="22"/>
      <x:c r="C161" s="22"/>
      <x:c r="D161" s="22"/>
      <x:c r="E161" s="22"/>
      <x:c r="F161" s="22"/>
      <x:c r="G161" s="22"/>
      <x:c r="H161" s="26"/>
      <x:c r="I161" s="22"/>
      <x:c r="J161" s="22"/>
      <x:c r="K161" s="22"/>
      <x:c r="L161" s="22"/>
      <x:c r="M161" s="22"/>
      <x:c r="N161" s="22"/>
      <x:c r="O161" s="22"/>
      <x:c r="P161" s="22"/>
      <x:c r="Q161" s="22"/>
    </x:row>
    <x:row r="162">
      <x:c r="A162" s="22" t="str">
        <x:f>IF(E162="","","RES-"&amp;TEXT(ROW()-2,"0000"))</x:f>
      </x:c>
      <x:c r="B162" s="22"/>
      <x:c r="C162" s="22"/>
      <x:c r="D162" s="22"/>
      <x:c r="E162" s="22"/>
      <x:c r="F162" s="22"/>
      <x:c r="G162" s="22"/>
      <x:c r="H162" s="26"/>
      <x:c r="I162" s="22"/>
      <x:c r="J162" s="22"/>
      <x:c r="K162" s="22"/>
      <x:c r="L162" s="22"/>
      <x:c r="M162" s="22"/>
      <x:c r="N162" s="22"/>
      <x:c r="O162" s="22"/>
      <x:c r="P162" s="22"/>
      <x:c r="Q162" s="22"/>
    </x:row>
    <x:row r="163">
      <x:c r="A163" s="22" t="str">
        <x:f>IF(E163="","","RES-"&amp;TEXT(ROW()-2,"0000"))</x:f>
      </x:c>
      <x:c r="B163" s="22"/>
      <x:c r="C163" s="22"/>
      <x:c r="D163" s="22"/>
      <x:c r="E163" s="22"/>
      <x:c r="F163" s="22"/>
      <x:c r="G163" s="22"/>
      <x:c r="H163" s="26"/>
      <x:c r="I163" s="22"/>
      <x:c r="J163" s="22"/>
      <x:c r="K163" s="22"/>
      <x:c r="L163" s="22"/>
      <x:c r="M163" s="22"/>
      <x:c r="N163" s="22"/>
      <x:c r="O163" s="22"/>
      <x:c r="P163" s="22"/>
      <x:c r="Q163" s="22"/>
    </x:row>
    <x:row r="164">
      <x:c r="A164" s="22" t="str">
        <x:f>IF(E164="","","RES-"&amp;TEXT(ROW()-2,"0000"))</x:f>
      </x:c>
      <x:c r="B164" s="22"/>
      <x:c r="C164" s="22"/>
      <x:c r="D164" s="22"/>
      <x:c r="E164" s="22"/>
      <x:c r="F164" s="22"/>
      <x:c r="G164" s="22"/>
      <x:c r="H164" s="26"/>
      <x:c r="I164" s="22"/>
      <x:c r="J164" s="22"/>
      <x:c r="K164" s="22"/>
      <x:c r="L164" s="22"/>
      <x:c r="M164" s="22"/>
      <x:c r="N164" s="22"/>
      <x:c r="O164" s="22"/>
      <x:c r="P164" s="22"/>
      <x:c r="Q164" s="22"/>
    </x:row>
    <x:row r="165">
      <x:c r="A165" s="22" t="str">
        <x:f>IF(E165="","","RES-"&amp;TEXT(ROW()-2,"0000"))</x:f>
      </x:c>
      <x:c r="B165" s="22"/>
      <x:c r="C165" s="22"/>
      <x:c r="D165" s="22"/>
      <x:c r="E165" s="22"/>
      <x:c r="F165" s="22"/>
      <x:c r="G165" s="22"/>
      <x:c r="H165" s="26"/>
      <x:c r="I165" s="22"/>
      <x:c r="J165" s="22"/>
      <x:c r="K165" s="22"/>
      <x:c r="L165" s="22"/>
      <x:c r="M165" s="22"/>
      <x:c r="N165" s="22"/>
      <x:c r="O165" s="22"/>
      <x:c r="P165" s="22"/>
      <x:c r="Q165" s="22"/>
    </x:row>
    <x:row r="166">
      <x:c r="A166" s="22" t="str">
        <x:f>IF(E166="","","RES-"&amp;TEXT(ROW()-2,"0000"))</x:f>
      </x:c>
      <x:c r="B166" s="22"/>
      <x:c r="C166" s="22"/>
      <x:c r="D166" s="22"/>
      <x:c r="E166" s="22"/>
      <x:c r="F166" s="22"/>
      <x:c r="G166" s="22"/>
      <x:c r="H166" s="26"/>
      <x:c r="I166" s="22"/>
      <x:c r="J166" s="22"/>
      <x:c r="K166" s="22"/>
      <x:c r="L166" s="22"/>
      <x:c r="M166" s="22"/>
      <x:c r="N166" s="22"/>
      <x:c r="O166" s="22"/>
      <x:c r="P166" s="22"/>
      <x:c r="Q166" s="22"/>
    </x:row>
    <x:row r="167">
      <x:c r="A167" s="22" t="str">
        <x:f>IF(E167="","","RES-"&amp;TEXT(ROW()-2,"0000"))</x:f>
      </x:c>
      <x:c r="B167" s="22"/>
      <x:c r="C167" s="22"/>
      <x:c r="D167" s="22"/>
      <x:c r="E167" s="22"/>
      <x:c r="F167" s="22"/>
      <x:c r="G167" s="22"/>
      <x:c r="H167" s="26"/>
      <x:c r="I167" s="22"/>
      <x:c r="J167" s="22"/>
      <x:c r="K167" s="22"/>
      <x:c r="L167" s="22"/>
      <x:c r="M167" s="22"/>
      <x:c r="N167" s="22"/>
      <x:c r="O167" s="22"/>
      <x:c r="P167" s="22"/>
      <x:c r="Q167" s="22"/>
    </x:row>
    <x:row r="168">
      <x:c r="A168" s="22" t="str">
        <x:f>IF(E168="","","RES-"&amp;TEXT(ROW()-2,"0000"))</x:f>
      </x:c>
      <x:c r="B168" s="22"/>
      <x:c r="C168" s="22"/>
      <x:c r="D168" s="22"/>
      <x:c r="E168" s="22"/>
      <x:c r="F168" s="22"/>
      <x:c r="G168" s="22"/>
      <x:c r="H168" s="26"/>
      <x:c r="I168" s="22"/>
      <x:c r="J168" s="22"/>
      <x:c r="K168" s="22"/>
      <x:c r="L168" s="22"/>
      <x:c r="M168" s="22"/>
      <x:c r="N168" s="22"/>
      <x:c r="O168" s="22"/>
      <x:c r="P168" s="22"/>
      <x:c r="Q168" s="22"/>
    </x:row>
    <x:row r="169">
      <x:c r="A169" s="22" t="str">
        <x:f>IF(E169="","","RES-"&amp;TEXT(ROW()-2,"0000"))</x:f>
      </x:c>
      <x:c r="B169" s="22"/>
      <x:c r="C169" s="22"/>
      <x:c r="D169" s="22"/>
      <x:c r="E169" s="22"/>
      <x:c r="F169" s="22"/>
      <x:c r="G169" s="22"/>
      <x:c r="H169" s="26"/>
      <x:c r="I169" s="22"/>
      <x:c r="J169" s="22"/>
      <x:c r="K169" s="22"/>
      <x:c r="L169" s="22"/>
      <x:c r="M169" s="22"/>
      <x:c r="N169" s="22"/>
      <x:c r="O169" s="22"/>
      <x:c r="P169" s="22"/>
      <x:c r="Q169" s="22"/>
    </x:row>
    <x:row r="170">
      <x:c r="A170" s="22" t="str">
        <x:f>IF(E170="","","RES-"&amp;TEXT(ROW()-2,"0000"))</x:f>
      </x:c>
      <x:c r="B170" s="22"/>
      <x:c r="C170" s="22"/>
      <x:c r="D170" s="22"/>
      <x:c r="E170" s="22"/>
      <x:c r="F170" s="22"/>
      <x:c r="G170" s="22"/>
      <x:c r="H170" s="26"/>
      <x:c r="I170" s="22"/>
      <x:c r="J170" s="22"/>
      <x:c r="K170" s="22"/>
      <x:c r="L170" s="22"/>
      <x:c r="M170" s="22"/>
      <x:c r="N170" s="22"/>
      <x:c r="O170" s="22"/>
      <x:c r="P170" s="22"/>
      <x:c r="Q170" s="22"/>
    </x:row>
    <x:row r="171">
      <x:c r="A171" s="22" t="str">
        <x:f>IF(E171="","","RES-"&amp;TEXT(ROW()-2,"0000"))</x:f>
      </x:c>
      <x:c r="B171" s="22"/>
      <x:c r="C171" s="22"/>
      <x:c r="D171" s="22"/>
      <x:c r="E171" s="22"/>
      <x:c r="F171" s="22"/>
      <x:c r="G171" s="22"/>
      <x:c r="H171" s="26"/>
      <x:c r="I171" s="22"/>
      <x:c r="J171" s="22"/>
      <x:c r="K171" s="22"/>
      <x:c r="L171" s="22"/>
      <x:c r="M171" s="22"/>
      <x:c r="N171" s="22"/>
      <x:c r="O171" s="22"/>
      <x:c r="P171" s="22"/>
      <x:c r="Q171" s="22"/>
    </x:row>
    <x:row r="172">
      <x:c r="A172" s="22" t="str">
        <x:f>IF(E172="","","RES-"&amp;TEXT(ROW()-2,"0000"))</x:f>
      </x:c>
      <x:c r="B172" s="22"/>
      <x:c r="C172" s="22"/>
      <x:c r="D172" s="22"/>
      <x:c r="E172" s="22"/>
      <x:c r="F172" s="22"/>
      <x:c r="G172" s="22"/>
      <x:c r="H172" s="26"/>
      <x:c r="I172" s="22"/>
      <x:c r="J172" s="22"/>
      <x:c r="K172" s="22"/>
      <x:c r="L172" s="22"/>
      <x:c r="M172" s="22"/>
      <x:c r="N172" s="22"/>
      <x:c r="O172" s="22"/>
      <x:c r="P172" s="22"/>
      <x:c r="Q172" s="22"/>
    </x:row>
    <x:row r="173">
      <x:c r="A173" s="22" t="str">
        <x:f>IF(E173="","","RES-"&amp;TEXT(ROW()-2,"0000"))</x:f>
      </x:c>
      <x:c r="B173" s="22"/>
      <x:c r="C173" s="22"/>
      <x:c r="D173" s="22"/>
      <x:c r="E173" s="22"/>
      <x:c r="F173" s="22"/>
      <x:c r="G173" s="22"/>
      <x:c r="H173" s="26"/>
      <x:c r="I173" s="22"/>
      <x:c r="J173" s="22"/>
      <x:c r="K173" s="22"/>
      <x:c r="L173" s="22"/>
      <x:c r="M173" s="22"/>
      <x:c r="N173" s="22"/>
      <x:c r="O173" s="22"/>
      <x:c r="P173" s="22"/>
      <x:c r="Q173" s="22"/>
    </x:row>
    <x:row r="174">
      <x:c r="A174" s="22" t="str">
        <x:f>IF(E174="","","RES-"&amp;TEXT(ROW()-2,"0000"))</x:f>
      </x:c>
      <x:c r="B174" s="22"/>
      <x:c r="C174" s="22"/>
      <x:c r="D174" s="22"/>
      <x:c r="E174" s="22"/>
      <x:c r="F174" s="22"/>
      <x:c r="G174" s="22"/>
      <x:c r="H174" s="26"/>
      <x:c r="I174" s="22"/>
      <x:c r="J174" s="22"/>
      <x:c r="K174" s="22"/>
      <x:c r="L174" s="22"/>
      <x:c r="M174" s="22"/>
      <x:c r="N174" s="22"/>
      <x:c r="O174" s="22"/>
      <x:c r="P174" s="22"/>
      <x:c r="Q174" s="22"/>
    </x:row>
    <x:row r="175">
      <x:c r="A175" s="22" t="str">
        <x:f>IF(E175="","","RES-"&amp;TEXT(ROW()-2,"0000"))</x:f>
      </x:c>
      <x:c r="B175" s="22"/>
      <x:c r="C175" s="22"/>
      <x:c r="D175" s="22"/>
      <x:c r="E175" s="22"/>
      <x:c r="F175" s="22"/>
      <x:c r="G175" s="22"/>
      <x:c r="H175" s="26"/>
      <x:c r="I175" s="22"/>
      <x:c r="J175" s="22"/>
      <x:c r="K175" s="22"/>
      <x:c r="L175" s="22"/>
      <x:c r="M175" s="22"/>
      <x:c r="N175" s="22"/>
      <x:c r="O175" s="22"/>
      <x:c r="P175" s="22"/>
      <x:c r="Q175" s="22"/>
    </x:row>
    <x:row r="176">
      <x:c r="A176" s="22" t="str">
        <x:f>IF(E176="","","RES-"&amp;TEXT(ROW()-2,"0000"))</x:f>
      </x:c>
      <x:c r="B176" s="22"/>
      <x:c r="C176" s="22"/>
      <x:c r="D176" s="22"/>
      <x:c r="E176" s="22"/>
      <x:c r="F176" s="22"/>
      <x:c r="G176" s="22"/>
      <x:c r="H176" s="26"/>
      <x:c r="I176" s="22"/>
      <x:c r="J176" s="22"/>
      <x:c r="K176" s="22"/>
      <x:c r="L176" s="22"/>
      <x:c r="M176" s="22"/>
      <x:c r="N176" s="22"/>
      <x:c r="O176" s="22"/>
      <x:c r="P176" s="22"/>
      <x:c r="Q176" s="22"/>
    </x:row>
    <x:row r="177">
      <x:c r="A177" s="22" t="str">
        <x:f>IF(E177="","","RES-"&amp;TEXT(ROW()-2,"0000"))</x:f>
      </x:c>
      <x:c r="B177" s="22"/>
      <x:c r="C177" s="22"/>
      <x:c r="D177" s="22"/>
      <x:c r="E177" s="22"/>
      <x:c r="F177" s="22"/>
      <x:c r="G177" s="22"/>
      <x:c r="H177" s="26"/>
      <x:c r="I177" s="22"/>
      <x:c r="J177" s="22"/>
      <x:c r="K177" s="22"/>
      <x:c r="L177" s="22"/>
      <x:c r="M177" s="22"/>
      <x:c r="N177" s="22"/>
      <x:c r="O177" s="22"/>
      <x:c r="P177" s="22"/>
      <x:c r="Q177" s="22"/>
    </x:row>
    <x:row r="178">
      <x:c r="A178" s="22" t="str">
        <x:f>IF(E178="","","RES-"&amp;TEXT(ROW()-2,"0000"))</x:f>
      </x:c>
      <x:c r="B178" s="22"/>
      <x:c r="C178" s="22"/>
      <x:c r="D178" s="22"/>
      <x:c r="E178" s="22"/>
      <x:c r="F178" s="22"/>
      <x:c r="G178" s="22"/>
      <x:c r="H178" s="26"/>
      <x:c r="I178" s="22"/>
      <x:c r="J178" s="22"/>
      <x:c r="K178" s="22"/>
      <x:c r="L178" s="22"/>
      <x:c r="M178" s="22"/>
      <x:c r="N178" s="22"/>
      <x:c r="O178" s="22"/>
      <x:c r="P178" s="22"/>
      <x:c r="Q178" s="22"/>
    </x:row>
    <x:row r="179">
      <x:c r="A179" s="22" t="str">
        <x:f>IF(E179="","","RES-"&amp;TEXT(ROW()-2,"0000"))</x:f>
      </x:c>
      <x:c r="B179" s="22"/>
      <x:c r="C179" s="22"/>
      <x:c r="D179" s="22"/>
      <x:c r="E179" s="22"/>
      <x:c r="F179" s="22"/>
      <x:c r="G179" s="22"/>
      <x:c r="H179" s="26"/>
      <x:c r="I179" s="22"/>
      <x:c r="J179" s="22"/>
      <x:c r="K179" s="22"/>
      <x:c r="L179" s="22"/>
      <x:c r="M179" s="22"/>
      <x:c r="N179" s="22"/>
      <x:c r="O179" s="22"/>
      <x:c r="P179" s="22"/>
      <x:c r="Q179" s="22"/>
    </x:row>
    <x:row r="180">
      <x:c r="A180" s="22" t="str">
        <x:f>IF(E180="","","RES-"&amp;TEXT(ROW()-2,"0000"))</x:f>
      </x:c>
      <x:c r="B180" s="22"/>
      <x:c r="C180" s="22"/>
      <x:c r="D180" s="22"/>
      <x:c r="E180" s="22"/>
      <x:c r="F180" s="22"/>
      <x:c r="G180" s="22"/>
      <x:c r="H180" s="26"/>
      <x:c r="I180" s="22"/>
      <x:c r="J180" s="22"/>
      <x:c r="K180" s="22"/>
      <x:c r="L180" s="22"/>
      <x:c r="M180" s="22"/>
      <x:c r="N180" s="22"/>
      <x:c r="O180" s="22"/>
      <x:c r="P180" s="22"/>
      <x:c r="Q180" s="22"/>
    </x:row>
    <x:row r="181">
      <x:c r="A181" s="22" t="str">
        <x:f>IF(E181="","","RES-"&amp;TEXT(ROW()-2,"0000"))</x:f>
      </x:c>
      <x:c r="B181" s="22"/>
      <x:c r="C181" s="22"/>
      <x:c r="D181" s="22"/>
      <x:c r="E181" s="22"/>
      <x:c r="F181" s="22"/>
      <x:c r="G181" s="22"/>
      <x:c r="H181" s="26"/>
      <x:c r="I181" s="22"/>
      <x:c r="J181" s="22"/>
      <x:c r="K181" s="22"/>
      <x:c r="L181" s="22"/>
      <x:c r="M181" s="22"/>
      <x:c r="N181" s="22"/>
      <x:c r="O181" s="22"/>
      <x:c r="P181" s="22"/>
      <x:c r="Q181" s="22"/>
    </x:row>
    <x:row r="182">
      <x:c r="A182" s="22" t="str">
        <x:f>IF(E182="","","RES-"&amp;TEXT(ROW()-2,"0000"))</x:f>
      </x:c>
      <x:c r="B182" s="22"/>
      <x:c r="C182" s="22"/>
      <x:c r="D182" s="22"/>
      <x:c r="E182" s="22"/>
      <x:c r="F182" s="22"/>
      <x:c r="G182" s="22"/>
      <x:c r="H182" s="26"/>
      <x:c r="I182" s="22"/>
      <x:c r="J182" s="22"/>
      <x:c r="K182" s="22"/>
      <x:c r="L182" s="22"/>
      <x:c r="M182" s="22"/>
      <x:c r="N182" s="22"/>
      <x:c r="O182" s="22"/>
      <x:c r="P182" s="22"/>
      <x:c r="Q182" s="22"/>
    </x:row>
    <x:row r="183">
      <x:c r="A183" s="22" t="str">
        <x:f>IF(E183="","","RES-"&amp;TEXT(ROW()-2,"0000"))</x:f>
      </x:c>
      <x:c r="B183" s="22"/>
      <x:c r="C183" s="22"/>
      <x:c r="D183" s="22"/>
      <x:c r="E183" s="22"/>
      <x:c r="F183" s="22"/>
      <x:c r="G183" s="22"/>
      <x:c r="H183" s="26"/>
      <x:c r="I183" s="22"/>
      <x:c r="J183" s="22"/>
      <x:c r="K183" s="22"/>
      <x:c r="L183" s="22"/>
      <x:c r="M183" s="22"/>
      <x:c r="N183" s="22"/>
      <x:c r="O183" s="22"/>
      <x:c r="P183" s="22"/>
      <x:c r="Q183" s="22"/>
    </x:row>
    <x:row r="184">
      <x:c r="A184" s="22" t="str">
        <x:f>IF(E184="","","RES-"&amp;TEXT(ROW()-2,"0000"))</x:f>
      </x:c>
      <x:c r="B184" s="22"/>
      <x:c r="C184" s="22"/>
      <x:c r="D184" s="22"/>
      <x:c r="E184" s="22"/>
      <x:c r="F184" s="22"/>
      <x:c r="G184" s="22"/>
      <x:c r="H184" s="26"/>
      <x:c r="I184" s="22"/>
      <x:c r="J184" s="22"/>
      <x:c r="K184" s="22"/>
      <x:c r="L184" s="22"/>
      <x:c r="M184" s="22"/>
      <x:c r="N184" s="22"/>
      <x:c r="O184" s="22"/>
      <x:c r="P184" s="22"/>
      <x:c r="Q184" s="22"/>
    </x:row>
    <x:row r="185">
      <x:c r="A185" s="22" t="str">
        <x:f>IF(E185="","","RES-"&amp;TEXT(ROW()-2,"0000"))</x:f>
      </x:c>
      <x:c r="B185" s="22"/>
      <x:c r="C185" s="22"/>
      <x:c r="D185" s="22"/>
      <x:c r="E185" s="22"/>
      <x:c r="F185" s="22"/>
      <x:c r="G185" s="22"/>
      <x:c r="H185" s="26"/>
      <x:c r="I185" s="22"/>
      <x:c r="J185" s="22"/>
      <x:c r="K185" s="22"/>
      <x:c r="L185" s="22"/>
      <x:c r="M185" s="22"/>
      <x:c r="N185" s="22"/>
      <x:c r="O185" s="22"/>
      <x:c r="P185" s="22"/>
      <x:c r="Q185" s="22"/>
    </x:row>
    <x:row r="186">
      <x:c r="A186" s="22" t="str">
        <x:f>IF(E186="","","RES-"&amp;TEXT(ROW()-2,"0000"))</x:f>
      </x:c>
      <x:c r="B186" s="22"/>
      <x:c r="C186" s="22"/>
      <x:c r="D186" s="22"/>
      <x:c r="E186" s="22"/>
      <x:c r="F186" s="22"/>
      <x:c r="G186" s="22"/>
      <x:c r="H186" s="26"/>
      <x:c r="I186" s="22"/>
      <x:c r="J186" s="22"/>
      <x:c r="K186" s="22"/>
      <x:c r="L186" s="22"/>
      <x:c r="M186" s="22"/>
      <x:c r="N186" s="22"/>
      <x:c r="O186" s="22"/>
      <x:c r="P186" s="22"/>
      <x:c r="Q186" s="22"/>
    </x:row>
    <x:row r="187">
      <x:c r="A187" s="22" t="str">
        <x:f>IF(E187="","","RES-"&amp;TEXT(ROW()-2,"0000"))</x:f>
      </x:c>
      <x:c r="B187" s="22"/>
      <x:c r="C187" s="22"/>
      <x:c r="D187" s="22"/>
      <x:c r="E187" s="22"/>
      <x:c r="F187" s="22"/>
      <x:c r="G187" s="22"/>
      <x:c r="H187" s="26"/>
      <x:c r="I187" s="22"/>
      <x:c r="J187" s="22"/>
      <x:c r="K187" s="22"/>
      <x:c r="L187" s="22"/>
      <x:c r="M187" s="22"/>
      <x:c r="N187" s="22"/>
      <x:c r="O187" s="22"/>
      <x:c r="P187" s="22"/>
      <x:c r="Q187" s="22"/>
    </x:row>
    <x:row r="188">
      <x:c r="A188" s="22" t="str">
        <x:f>IF(E188="","","RES-"&amp;TEXT(ROW()-2,"0000"))</x:f>
      </x:c>
      <x:c r="B188" s="22"/>
      <x:c r="C188" s="22"/>
      <x:c r="D188" s="22"/>
      <x:c r="E188" s="22"/>
      <x:c r="F188" s="22"/>
      <x:c r="G188" s="22"/>
      <x:c r="H188" s="26"/>
      <x:c r="I188" s="22"/>
      <x:c r="J188" s="22"/>
      <x:c r="K188" s="22"/>
      <x:c r="L188" s="22"/>
      <x:c r="M188" s="22"/>
      <x:c r="N188" s="22"/>
      <x:c r="O188" s="22"/>
      <x:c r="P188" s="22"/>
      <x:c r="Q188" s="22"/>
    </x:row>
    <x:row r="189">
      <x:c r="A189" s="22" t="str">
        <x:f>IF(E189="","","RES-"&amp;TEXT(ROW()-2,"0000"))</x:f>
      </x:c>
      <x:c r="B189" s="22"/>
      <x:c r="C189" s="22"/>
      <x:c r="D189" s="22"/>
      <x:c r="E189" s="22"/>
      <x:c r="F189" s="22"/>
      <x:c r="G189" s="22"/>
      <x:c r="H189" s="26"/>
      <x:c r="I189" s="22"/>
      <x:c r="J189" s="22"/>
      <x:c r="K189" s="22"/>
      <x:c r="L189" s="22"/>
      <x:c r="M189" s="22"/>
      <x:c r="N189" s="22"/>
      <x:c r="O189" s="22"/>
      <x:c r="P189" s="22"/>
      <x:c r="Q189" s="22"/>
    </x:row>
    <x:row r="190">
      <x:c r="A190" s="22" t="str">
        <x:f>IF(E190="","","RES-"&amp;TEXT(ROW()-2,"0000"))</x:f>
      </x:c>
      <x:c r="B190" s="22"/>
      <x:c r="C190" s="22"/>
      <x:c r="D190" s="22"/>
      <x:c r="E190" s="22"/>
      <x:c r="F190" s="22"/>
      <x:c r="G190" s="22"/>
      <x:c r="H190" s="26"/>
      <x:c r="I190" s="22"/>
      <x:c r="J190" s="22"/>
      <x:c r="K190" s="22"/>
      <x:c r="L190" s="22"/>
      <x:c r="M190" s="22"/>
      <x:c r="N190" s="22"/>
      <x:c r="O190" s="22"/>
      <x:c r="P190" s="22"/>
      <x:c r="Q190" s="22"/>
    </x:row>
    <x:row r="191">
      <x:c r="A191" s="22" t="str">
        <x:f>IF(E191="","","RES-"&amp;TEXT(ROW()-2,"0000"))</x:f>
      </x:c>
      <x:c r="B191" s="22"/>
      <x:c r="C191" s="22"/>
      <x:c r="D191" s="22"/>
      <x:c r="E191" s="22"/>
      <x:c r="F191" s="22"/>
      <x:c r="G191" s="22"/>
      <x:c r="H191" s="26"/>
      <x:c r="I191" s="22"/>
      <x:c r="J191" s="22"/>
      <x:c r="K191" s="22"/>
      <x:c r="L191" s="22"/>
      <x:c r="M191" s="22"/>
      <x:c r="N191" s="22"/>
      <x:c r="O191" s="22"/>
      <x:c r="P191" s="22"/>
      <x:c r="Q191" s="22"/>
    </x:row>
    <x:row r="192">
      <x:c r="A192" s="22" t="str">
        <x:f>IF(E192="","","RES-"&amp;TEXT(ROW()-2,"0000"))</x:f>
      </x:c>
      <x:c r="B192" s="22"/>
      <x:c r="C192" s="22"/>
      <x:c r="D192" s="22"/>
      <x:c r="E192" s="22"/>
      <x:c r="F192" s="22"/>
      <x:c r="G192" s="22"/>
      <x:c r="H192" s="26"/>
      <x:c r="I192" s="22"/>
      <x:c r="J192" s="22"/>
      <x:c r="K192" s="22"/>
      <x:c r="L192" s="22"/>
      <x:c r="M192" s="22"/>
      <x:c r="N192" s="22"/>
      <x:c r="O192" s="22"/>
      <x:c r="P192" s="22"/>
      <x:c r="Q192" s="22"/>
    </x:row>
    <x:row r="193">
      <x:c r="A193" s="22" t="str">
        <x:f>IF(E193="","","RES-"&amp;TEXT(ROW()-2,"0000"))</x:f>
      </x:c>
      <x:c r="B193" s="22"/>
      <x:c r="C193" s="22"/>
      <x:c r="D193" s="22"/>
      <x:c r="E193" s="22"/>
      <x:c r="F193" s="22"/>
      <x:c r="G193" s="22"/>
      <x:c r="H193" s="26"/>
      <x:c r="I193" s="22"/>
      <x:c r="J193" s="22"/>
      <x:c r="K193" s="22"/>
      <x:c r="L193" s="22"/>
      <x:c r="M193" s="22"/>
      <x:c r="N193" s="22"/>
      <x:c r="O193" s="22"/>
      <x:c r="P193" s="22"/>
      <x:c r="Q193" s="22"/>
    </x:row>
    <x:row r="194">
      <x:c r="A194" s="22" t="str">
        <x:f>IF(E194="","","RES-"&amp;TEXT(ROW()-2,"0000"))</x:f>
      </x:c>
      <x:c r="B194" s="22"/>
      <x:c r="C194" s="22"/>
      <x:c r="D194" s="22"/>
      <x:c r="E194" s="22"/>
      <x:c r="F194" s="22"/>
      <x:c r="G194" s="22"/>
      <x:c r="H194" s="26"/>
      <x:c r="I194" s="22"/>
      <x:c r="J194" s="22"/>
      <x:c r="K194" s="22"/>
      <x:c r="L194" s="22"/>
      <x:c r="M194" s="22"/>
      <x:c r="N194" s="22"/>
      <x:c r="O194" s="22"/>
      <x:c r="P194" s="22"/>
      <x:c r="Q194" s="22"/>
    </x:row>
    <x:row r="195">
      <x:c r="A195" s="22" t="str">
        <x:f>IF(E195="","","RES-"&amp;TEXT(ROW()-2,"0000"))</x:f>
      </x:c>
      <x:c r="B195" s="22"/>
      <x:c r="C195" s="22"/>
      <x:c r="D195" s="22"/>
      <x:c r="E195" s="22"/>
      <x:c r="F195" s="22"/>
      <x:c r="G195" s="22"/>
      <x:c r="H195" s="26"/>
      <x:c r="I195" s="22"/>
      <x:c r="J195" s="22"/>
      <x:c r="K195" s="22"/>
      <x:c r="L195" s="22"/>
      <x:c r="M195" s="22"/>
      <x:c r="N195" s="22"/>
      <x:c r="O195" s="22"/>
      <x:c r="P195" s="22"/>
      <x:c r="Q195" s="22"/>
    </x:row>
    <x:row r="196">
      <x:c r="A196" s="22" t="str">
        <x:f>IF(E196="","","RES-"&amp;TEXT(ROW()-2,"0000"))</x:f>
      </x:c>
      <x:c r="B196" s="22"/>
      <x:c r="C196" s="22"/>
      <x:c r="D196" s="22"/>
      <x:c r="E196" s="22"/>
      <x:c r="F196" s="22"/>
      <x:c r="G196" s="22"/>
      <x:c r="H196" s="26"/>
      <x:c r="I196" s="22"/>
      <x:c r="J196" s="22"/>
      <x:c r="K196" s="22"/>
      <x:c r="L196" s="22"/>
      <x:c r="M196" s="22"/>
      <x:c r="N196" s="22"/>
      <x:c r="O196" s="22"/>
      <x:c r="P196" s="22"/>
      <x:c r="Q196" s="22"/>
    </x:row>
    <x:row r="197">
      <x:c r="A197" s="22" t="str">
        <x:f>IF(E197="","","RES-"&amp;TEXT(ROW()-2,"0000"))</x:f>
      </x:c>
      <x:c r="B197" s="22"/>
      <x:c r="C197" s="22"/>
      <x:c r="D197" s="22"/>
      <x:c r="E197" s="22"/>
      <x:c r="F197" s="22"/>
      <x:c r="G197" s="22"/>
      <x:c r="H197" s="26"/>
      <x:c r="I197" s="22"/>
      <x:c r="J197" s="22"/>
      <x:c r="K197" s="22"/>
      <x:c r="L197" s="22"/>
      <x:c r="M197" s="22"/>
      <x:c r="N197" s="22"/>
      <x:c r="O197" s="22"/>
      <x:c r="P197" s="22"/>
      <x:c r="Q197" s="22"/>
    </x:row>
    <x:row r="198">
      <x:c r="A198" s="22" t="str">
        <x:f>IF(E198="","","RES-"&amp;TEXT(ROW()-2,"0000"))</x:f>
      </x:c>
      <x:c r="B198" s="22"/>
      <x:c r="C198" s="22"/>
      <x:c r="D198" s="22"/>
      <x:c r="E198" s="22"/>
      <x:c r="F198" s="22"/>
      <x:c r="G198" s="22"/>
      <x:c r="H198" s="26"/>
      <x:c r="I198" s="22"/>
      <x:c r="J198" s="22"/>
      <x:c r="K198" s="22"/>
      <x:c r="L198" s="22"/>
      <x:c r="M198" s="22"/>
      <x:c r="N198" s="22"/>
      <x:c r="O198" s="22"/>
      <x:c r="P198" s="22"/>
      <x:c r="Q198" s="22"/>
    </x:row>
    <x:row r="199">
      <x:c r="A199" s="22" t="str">
        <x:f>IF(E199="","","RES-"&amp;TEXT(ROW()-2,"0000"))</x:f>
      </x:c>
      <x:c r="B199" s="22"/>
      <x:c r="C199" s="22"/>
      <x:c r="D199" s="22"/>
      <x:c r="E199" s="22"/>
      <x:c r="F199" s="22"/>
      <x:c r="G199" s="22"/>
      <x:c r="H199" s="26"/>
      <x:c r="I199" s="22"/>
      <x:c r="J199" s="22"/>
      <x:c r="K199" s="22"/>
      <x:c r="L199" s="22"/>
      <x:c r="M199" s="22"/>
      <x:c r="N199" s="22"/>
      <x:c r="O199" s="22"/>
      <x:c r="P199" s="22"/>
      <x:c r="Q199" s="22"/>
    </x:row>
    <x:row r="200">
      <x:c r="A200" s="22" t="str">
        <x:f>IF(E200="","","RES-"&amp;TEXT(ROW()-2,"0000"))</x:f>
      </x:c>
      <x:c r="B200" s="22"/>
      <x:c r="C200" s="22"/>
      <x:c r="D200" s="22"/>
      <x:c r="E200" s="22"/>
      <x:c r="F200" s="22"/>
      <x:c r="G200" s="22"/>
      <x:c r="H200" s="26"/>
      <x:c r="I200" s="22"/>
      <x:c r="J200" s="22"/>
      <x:c r="K200" s="22"/>
      <x:c r="L200" s="22"/>
      <x:c r="M200" s="22"/>
      <x:c r="N200" s="22"/>
      <x:c r="O200" s="22"/>
      <x:c r="P200" s="22"/>
      <x:c r="Q200" s="22"/>
    </x:row>
    <x:row r="201">
      <x:c r="A201" s="22" t="str">
        <x:f>IF(E201="","","RES-"&amp;TEXT(ROW()-2,"0000"))</x:f>
      </x:c>
      <x:c r="B201" s="22"/>
      <x:c r="C201" s="22"/>
      <x:c r="D201" s="22"/>
      <x:c r="E201" s="22"/>
      <x:c r="F201" s="22"/>
      <x:c r="G201" s="22"/>
      <x:c r="H201" s="26"/>
      <x:c r="I201" s="22"/>
      <x:c r="J201" s="22"/>
      <x:c r="K201" s="22"/>
      <x:c r="L201" s="22"/>
      <x:c r="M201" s="22"/>
      <x:c r="N201" s="22"/>
      <x:c r="O201" s="22"/>
      <x:c r="P201" s="22"/>
      <x:c r="Q201" s="22"/>
    </x:row>
    <x:row r="202">
      <x:c r="A202" s="22" t="str">
        <x:f>IF(E202="","","RES-"&amp;TEXT(ROW()-2,"0000"))</x:f>
      </x:c>
      <x:c r="B202" s="22"/>
      <x:c r="C202" s="22"/>
      <x:c r="D202" s="22"/>
      <x:c r="E202" s="22"/>
      <x:c r="F202" s="22"/>
      <x:c r="G202" s="22"/>
      <x:c r="H202" s="26"/>
      <x:c r="I202" s="22"/>
      <x:c r="J202" s="22"/>
      <x:c r="K202" s="22"/>
      <x:c r="L202" s="22"/>
      <x:c r="M202" s="22"/>
      <x:c r="N202" s="22"/>
      <x:c r="O202" s="22"/>
      <x:c r="P202" s="22"/>
      <x:c r="Q202" s="22"/>
    </x:row>
    <x:row r="203">
      <x:c r="A203" s="22" t="str">
        <x:f>IF(E203="","","RES-"&amp;TEXT(ROW()-2,"0000"))</x:f>
      </x:c>
      <x:c r="B203" s="22"/>
      <x:c r="C203" s="22"/>
      <x:c r="D203" s="22"/>
      <x:c r="E203" s="22"/>
      <x:c r="F203" s="22"/>
      <x:c r="G203" s="22"/>
      <x:c r="H203" s="26"/>
      <x:c r="I203" s="22"/>
      <x:c r="J203" s="22"/>
      <x:c r="K203" s="22"/>
      <x:c r="L203" s="22"/>
      <x:c r="M203" s="22"/>
      <x:c r="N203" s="22"/>
      <x:c r="O203" s="22"/>
      <x:c r="P203" s="22"/>
      <x:c r="Q203" s="22"/>
    </x:row>
    <x:row r="204">
      <x:c r="A204" s="22" t="str">
        <x:f>IF(E204="","","RES-"&amp;TEXT(ROW()-2,"0000"))</x:f>
      </x:c>
      <x:c r="B204" s="22"/>
      <x:c r="C204" s="22"/>
      <x:c r="D204" s="22"/>
      <x:c r="E204" s="22"/>
      <x:c r="F204" s="22"/>
      <x:c r="G204" s="22"/>
      <x:c r="H204" s="26"/>
      <x:c r="I204" s="22"/>
      <x:c r="J204" s="22"/>
      <x:c r="K204" s="22"/>
      <x:c r="L204" s="22"/>
      <x:c r="M204" s="22"/>
      <x:c r="N204" s="22"/>
      <x:c r="O204" s="22"/>
      <x:c r="P204" s="22"/>
      <x:c r="Q204" s="22"/>
    </x:row>
    <x:row r="205">
      <x:c r="A205" s="22" t="str">
        <x:f>IF(E205="","","RES-"&amp;TEXT(ROW()-2,"0000"))</x:f>
      </x:c>
      <x:c r="B205" s="22"/>
      <x:c r="C205" s="22"/>
      <x:c r="D205" s="22"/>
      <x:c r="E205" s="22"/>
      <x:c r="F205" s="22"/>
      <x:c r="G205" s="22"/>
      <x:c r="H205" s="26"/>
      <x:c r="I205" s="22"/>
      <x:c r="J205" s="22"/>
      <x:c r="K205" s="22"/>
      <x:c r="L205" s="22"/>
      <x:c r="M205" s="22"/>
      <x:c r="N205" s="22"/>
      <x:c r="O205" s="22"/>
      <x:c r="P205" s="22"/>
      <x:c r="Q205" s="22"/>
    </x:row>
    <x:row r="206">
      <x:c r="A206" s="22" t="str">
        <x:f>IF(E206="","","RES-"&amp;TEXT(ROW()-2,"0000"))</x:f>
      </x:c>
      <x:c r="B206" s="22"/>
      <x:c r="C206" s="22"/>
      <x:c r="D206" s="22"/>
      <x:c r="E206" s="22"/>
      <x:c r="F206" s="22"/>
      <x:c r="G206" s="22"/>
      <x:c r="H206" s="26"/>
      <x:c r="I206" s="22"/>
      <x:c r="J206" s="22"/>
      <x:c r="K206" s="22"/>
      <x:c r="L206" s="22"/>
      <x:c r="M206" s="22"/>
      <x:c r="N206" s="22"/>
      <x:c r="O206" s="22"/>
      <x:c r="P206" s="22"/>
      <x:c r="Q206" s="22"/>
    </x:row>
    <x:row r="207">
      <x:c r="A207" s="22" t="str">
        <x:f>IF(E207="","","RES-"&amp;TEXT(ROW()-2,"0000"))</x:f>
      </x:c>
      <x:c r="B207" s="22"/>
      <x:c r="C207" s="22"/>
      <x:c r="D207" s="22"/>
      <x:c r="E207" s="22"/>
      <x:c r="F207" s="22"/>
      <x:c r="G207" s="22"/>
      <x:c r="H207" s="26"/>
      <x:c r="I207" s="22"/>
      <x:c r="J207" s="22"/>
      <x:c r="K207" s="22"/>
      <x:c r="L207" s="22"/>
      <x:c r="M207" s="22"/>
      <x:c r="N207" s="22"/>
      <x:c r="O207" s="22"/>
      <x:c r="P207" s="22"/>
      <x:c r="Q207" s="22"/>
    </x:row>
    <x:row r="208">
      <x:c r="A208" s="22" t="str">
        <x:f>IF(E208="","","RES-"&amp;TEXT(ROW()-2,"0000"))</x:f>
      </x:c>
      <x:c r="B208" s="22"/>
      <x:c r="C208" s="22"/>
      <x:c r="D208" s="22"/>
      <x:c r="E208" s="22"/>
      <x:c r="F208" s="22"/>
      <x:c r="G208" s="22"/>
      <x:c r="H208" s="26"/>
      <x:c r="I208" s="22"/>
      <x:c r="J208" s="22"/>
      <x:c r="K208" s="22"/>
      <x:c r="L208" s="22"/>
      <x:c r="M208" s="22"/>
      <x:c r="N208" s="22"/>
      <x:c r="O208" s="22"/>
      <x:c r="P208" s="22"/>
      <x:c r="Q208" s="22"/>
    </x:row>
    <x:row r="209">
      <x:c r="A209" s="22" t="str">
        <x:f>IF(E209="","","RES-"&amp;TEXT(ROW()-2,"0000"))</x:f>
      </x:c>
      <x:c r="B209" s="22"/>
      <x:c r="C209" s="22"/>
      <x:c r="D209" s="22"/>
      <x:c r="E209" s="22"/>
      <x:c r="F209" s="22"/>
      <x:c r="G209" s="22"/>
      <x:c r="H209" s="26"/>
      <x:c r="I209" s="22"/>
      <x:c r="J209" s="22"/>
      <x:c r="K209" s="22"/>
      <x:c r="L209" s="22"/>
      <x:c r="M209" s="22"/>
      <x:c r="N209" s="22"/>
      <x:c r="O209" s="22"/>
      <x:c r="P209" s="22"/>
      <x:c r="Q209" s="22"/>
    </x:row>
    <x:row r="210">
      <x:c r="A210" s="22" t="str">
        <x:f>IF(E210="","","RES-"&amp;TEXT(ROW()-2,"0000"))</x:f>
      </x:c>
      <x:c r="B210" s="22"/>
      <x:c r="C210" s="22"/>
      <x:c r="D210" s="22"/>
      <x:c r="E210" s="22"/>
      <x:c r="F210" s="22"/>
      <x:c r="G210" s="22"/>
      <x:c r="H210" s="26"/>
      <x:c r="I210" s="22"/>
      <x:c r="J210" s="22"/>
      <x:c r="K210" s="22"/>
      <x:c r="L210" s="22"/>
      <x:c r="M210" s="22"/>
      <x:c r="N210" s="22"/>
      <x:c r="O210" s="22"/>
      <x:c r="P210" s="22"/>
      <x:c r="Q210" s="22"/>
    </x:row>
    <x:row r="211">
      <x:c r="A211" s="22" t="str">
        <x:f>IF(E211="","","RES-"&amp;TEXT(ROW()-2,"0000"))</x:f>
      </x:c>
      <x:c r="B211" s="22"/>
      <x:c r="C211" s="22"/>
      <x:c r="D211" s="22"/>
      <x:c r="E211" s="22"/>
      <x:c r="F211" s="22"/>
      <x:c r="G211" s="22"/>
      <x:c r="H211" s="26"/>
      <x:c r="I211" s="22"/>
      <x:c r="J211" s="22"/>
      <x:c r="K211" s="22"/>
      <x:c r="L211" s="22"/>
      <x:c r="M211" s="22"/>
      <x:c r="N211" s="22"/>
      <x:c r="O211" s="22"/>
      <x:c r="P211" s="22"/>
      <x:c r="Q211" s="22"/>
    </x:row>
    <x:row r="212">
      <x:c r="A212" s="22" t="str">
        <x:f>IF(E212="","","RES-"&amp;TEXT(ROW()-2,"0000"))</x:f>
      </x:c>
      <x:c r="B212" s="22"/>
      <x:c r="C212" s="22"/>
      <x:c r="D212" s="22"/>
      <x:c r="E212" s="22"/>
      <x:c r="F212" s="22"/>
      <x:c r="G212" s="22"/>
      <x:c r="H212" s="26"/>
      <x:c r="I212" s="22"/>
      <x:c r="J212" s="22"/>
      <x:c r="K212" s="22"/>
      <x:c r="L212" s="22"/>
      <x:c r="M212" s="22"/>
      <x:c r="N212" s="22"/>
      <x:c r="O212" s="22"/>
      <x:c r="P212" s="22"/>
      <x:c r="Q212" s="22"/>
    </x:row>
    <x:row r="213">
      <x:c r="A213" s="22" t="str">
        <x:f>IF(E213="","","RES-"&amp;TEXT(ROW()-2,"0000"))</x:f>
      </x:c>
      <x:c r="B213" s="22"/>
      <x:c r="C213" s="22"/>
      <x:c r="D213" s="22"/>
      <x:c r="E213" s="22"/>
      <x:c r="F213" s="22"/>
      <x:c r="G213" s="22"/>
      <x:c r="H213" s="26"/>
      <x:c r="I213" s="22"/>
      <x:c r="J213" s="22"/>
      <x:c r="K213" s="22"/>
      <x:c r="L213" s="22"/>
      <x:c r="M213" s="22"/>
      <x:c r="N213" s="22"/>
      <x:c r="O213" s="22"/>
      <x:c r="P213" s="22"/>
      <x:c r="Q213" s="22"/>
    </x:row>
    <x:row r="214">
      <x:c r="A214" s="22" t="str">
        <x:f>IF(E214="","","RES-"&amp;TEXT(ROW()-2,"0000"))</x:f>
      </x:c>
      <x:c r="B214" s="22"/>
      <x:c r="C214" s="22"/>
      <x:c r="D214" s="22"/>
      <x:c r="E214" s="22"/>
      <x:c r="F214" s="22"/>
      <x:c r="G214" s="22"/>
      <x:c r="H214" s="26"/>
      <x:c r="I214" s="22"/>
      <x:c r="J214" s="22"/>
      <x:c r="K214" s="22"/>
      <x:c r="L214" s="22"/>
      <x:c r="M214" s="22"/>
      <x:c r="N214" s="22"/>
      <x:c r="O214" s="22"/>
      <x:c r="P214" s="22"/>
      <x:c r="Q214" s="22"/>
    </x:row>
    <x:row r="215">
      <x:c r="A215" s="22" t="str">
        <x:f>IF(E215="","","RES-"&amp;TEXT(ROW()-2,"0000"))</x:f>
      </x:c>
      <x:c r="B215" s="22"/>
      <x:c r="C215" s="22"/>
      <x:c r="D215" s="22"/>
      <x:c r="E215" s="22"/>
      <x:c r="F215" s="22"/>
      <x:c r="G215" s="22"/>
      <x:c r="H215" s="26"/>
      <x:c r="I215" s="22"/>
      <x:c r="J215" s="22"/>
      <x:c r="K215" s="22"/>
      <x:c r="L215" s="22"/>
      <x:c r="M215" s="22"/>
      <x:c r="N215" s="22"/>
      <x:c r="O215" s="22"/>
      <x:c r="P215" s="22"/>
      <x:c r="Q215" s="22"/>
    </x:row>
    <x:row r="216">
      <x:c r="A216" s="22" t="str">
        <x:f>IF(E216="","","RES-"&amp;TEXT(ROW()-2,"0000"))</x:f>
      </x:c>
      <x:c r="B216" s="22"/>
      <x:c r="C216" s="22"/>
      <x:c r="D216" s="22"/>
      <x:c r="E216" s="22"/>
      <x:c r="F216" s="22"/>
      <x:c r="G216" s="22"/>
      <x:c r="H216" s="26"/>
      <x:c r="I216" s="22"/>
      <x:c r="J216" s="22"/>
      <x:c r="K216" s="22"/>
      <x:c r="L216" s="22"/>
      <x:c r="M216" s="22"/>
      <x:c r="N216" s="22"/>
      <x:c r="O216" s="22"/>
      <x:c r="P216" s="22"/>
      <x:c r="Q216" s="22"/>
    </x:row>
    <x:row r="217">
      <x:c r="A217" s="22" t="str">
        <x:f>IF(E217="","","RES-"&amp;TEXT(ROW()-2,"0000"))</x:f>
      </x:c>
      <x:c r="B217" s="22"/>
      <x:c r="C217" s="22"/>
      <x:c r="D217" s="22"/>
      <x:c r="E217" s="22"/>
      <x:c r="F217" s="22"/>
      <x:c r="G217" s="22"/>
      <x:c r="H217" s="26"/>
      <x:c r="I217" s="22"/>
      <x:c r="J217" s="22"/>
      <x:c r="K217" s="22"/>
      <x:c r="L217" s="22"/>
      <x:c r="M217" s="22"/>
      <x:c r="N217" s="22"/>
      <x:c r="O217" s="22"/>
      <x:c r="P217" s="22"/>
      <x:c r="Q217" s="22"/>
    </x:row>
    <x:row r="218">
      <x:c r="A218" s="22" t="str">
        <x:f>IF(E218="","","RES-"&amp;TEXT(ROW()-2,"0000"))</x:f>
      </x:c>
      <x:c r="B218" s="22"/>
      <x:c r="C218" s="22"/>
      <x:c r="D218" s="22"/>
      <x:c r="E218" s="22"/>
      <x:c r="F218" s="22"/>
      <x:c r="G218" s="22"/>
      <x:c r="H218" s="26"/>
      <x:c r="I218" s="22"/>
      <x:c r="J218" s="22"/>
      <x:c r="K218" s="22"/>
      <x:c r="L218" s="22"/>
      <x:c r="M218" s="22"/>
      <x:c r="N218" s="22"/>
      <x:c r="O218" s="22"/>
      <x:c r="P218" s="22"/>
      <x:c r="Q218" s="22"/>
    </x:row>
    <x:row r="219">
      <x:c r="A219" s="22" t="str">
        <x:f>IF(E219="","","RES-"&amp;TEXT(ROW()-2,"0000"))</x:f>
      </x:c>
      <x:c r="B219" s="22"/>
      <x:c r="C219" s="22"/>
      <x:c r="D219" s="22"/>
      <x:c r="E219" s="22"/>
      <x:c r="F219" s="22"/>
      <x:c r="G219" s="22"/>
      <x:c r="H219" s="26"/>
      <x:c r="I219" s="22"/>
      <x:c r="J219" s="22"/>
      <x:c r="K219" s="22"/>
      <x:c r="L219" s="22"/>
      <x:c r="M219" s="22"/>
      <x:c r="N219" s="22"/>
      <x:c r="O219" s="22"/>
      <x:c r="P219" s="22"/>
      <x:c r="Q219" s="22"/>
    </x:row>
    <x:row r="220">
      <x:c r="A220" s="22" t="str">
        <x:f>IF(E220="","","RES-"&amp;TEXT(ROW()-2,"0000"))</x:f>
      </x:c>
      <x:c r="B220" s="22"/>
      <x:c r="C220" s="22"/>
      <x:c r="D220" s="22"/>
      <x:c r="E220" s="22"/>
      <x:c r="F220" s="22"/>
      <x:c r="G220" s="22"/>
      <x:c r="H220" s="26"/>
      <x:c r="I220" s="22"/>
      <x:c r="J220" s="22"/>
      <x:c r="K220" s="22"/>
      <x:c r="L220" s="22"/>
      <x:c r="M220" s="22"/>
      <x:c r="N220" s="22"/>
      <x:c r="O220" s="22"/>
      <x:c r="P220" s="22"/>
      <x:c r="Q220" s="22"/>
    </x:row>
    <x:row r="221">
      <x:c r="A221" s="22" t="str">
        <x:f>IF(E221="","","RES-"&amp;TEXT(ROW()-2,"0000"))</x:f>
      </x:c>
      <x:c r="B221" s="22"/>
      <x:c r="C221" s="22"/>
      <x:c r="D221" s="22"/>
      <x:c r="E221" s="22"/>
      <x:c r="F221" s="22"/>
      <x:c r="G221" s="22"/>
      <x:c r="H221" s="26"/>
      <x:c r="I221" s="22"/>
      <x:c r="J221" s="22"/>
      <x:c r="K221" s="22"/>
      <x:c r="L221" s="22"/>
      <x:c r="M221" s="22"/>
      <x:c r="N221" s="22"/>
      <x:c r="O221" s="22"/>
      <x:c r="P221" s="22"/>
      <x:c r="Q221" s="22"/>
    </x:row>
    <x:row r="222">
      <x:c r="A222" s="22" t="str">
        <x:f>IF(E222="","","RES-"&amp;TEXT(ROW()-2,"0000"))</x:f>
      </x:c>
      <x:c r="B222" s="22"/>
      <x:c r="C222" s="22"/>
      <x:c r="D222" s="22"/>
      <x:c r="E222" s="22"/>
      <x:c r="F222" s="22"/>
      <x:c r="G222" s="22"/>
      <x:c r="H222" s="26"/>
      <x:c r="I222" s="22"/>
      <x:c r="J222" s="22"/>
      <x:c r="K222" s="22"/>
      <x:c r="L222" s="22"/>
      <x:c r="M222" s="22"/>
      <x:c r="N222" s="22"/>
      <x:c r="O222" s="22"/>
      <x:c r="P222" s="22"/>
      <x:c r="Q222" s="22"/>
    </x:row>
    <x:row r="223">
      <x:c r="A223" s="22" t="str">
        <x:f>IF(E223="","","RES-"&amp;TEXT(ROW()-2,"0000"))</x:f>
      </x:c>
      <x:c r="B223" s="22"/>
      <x:c r="C223" s="22"/>
      <x:c r="D223" s="22"/>
      <x:c r="E223" s="22"/>
      <x:c r="F223" s="22"/>
      <x:c r="G223" s="22"/>
      <x:c r="H223" s="26"/>
      <x:c r="I223" s="22"/>
      <x:c r="J223" s="22"/>
      <x:c r="K223" s="22"/>
      <x:c r="L223" s="22"/>
      <x:c r="M223" s="22"/>
      <x:c r="N223" s="22"/>
      <x:c r="O223" s="22"/>
      <x:c r="P223" s="22"/>
      <x:c r="Q223" s="22"/>
    </x:row>
    <x:row r="224">
      <x:c r="A224" s="22" t="str">
        <x:f>IF(E224="","","RES-"&amp;TEXT(ROW()-2,"0000"))</x:f>
      </x:c>
      <x:c r="B224" s="22"/>
      <x:c r="C224" s="22"/>
      <x:c r="D224" s="22"/>
      <x:c r="E224" s="22"/>
      <x:c r="F224" s="22"/>
      <x:c r="G224" s="22"/>
      <x:c r="H224" s="26"/>
      <x:c r="I224" s="22"/>
      <x:c r="J224" s="22"/>
      <x:c r="K224" s="22"/>
      <x:c r="L224" s="22"/>
      <x:c r="M224" s="22"/>
      <x:c r="N224" s="22"/>
      <x:c r="O224" s="22"/>
      <x:c r="P224" s="22"/>
      <x:c r="Q224" s="22"/>
    </x:row>
    <x:row r="225">
      <x:c r="A225" s="22" t="str">
        <x:f>IF(E225="","","RES-"&amp;TEXT(ROW()-2,"0000"))</x:f>
      </x:c>
      <x:c r="B225" s="22"/>
      <x:c r="C225" s="22"/>
      <x:c r="D225" s="22"/>
      <x:c r="E225" s="22"/>
      <x:c r="F225" s="22"/>
      <x:c r="G225" s="22"/>
      <x:c r="H225" s="26"/>
      <x:c r="I225" s="22"/>
      <x:c r="J225" s="22"/>
      <x:c r="K225" s="22"/>
      <x:c r="L225" s="22"/>
      <x:c r="M225" s="22"/>
      <x:c r="N225" s="22"/>
      <x:c r="O225" s="22"/>
      <x:c r="P225" s="22"/>
      <x:c r="Q225" s="22"/>
    </x:row>
    <x:row r="226">
      <x:c r="A226" s="22" t="str">
        <x:f>IF(E226="","","RES-"&amp;TEXT(ROW()-2,"0000"))</x:f>
      </x:c>
      <x:c r="B226" s="22"/>
      <x:c r="C226" s="22"/>
      <x:c r="D226" s="22"/>
      <x:c r="E226" s="22"/>
      <x:c r="F226" s="22"/>
      <x:c r="G226" s="22"/>
      <x:c r="H226" s="26"/>
      <x:c r="I226" s="22"/>
      <x:c r="J226" s="22"/>
      <x:c r="K226" s="22"/>
      <x:c r="L226" s="22"/>
      <x:c r="M226" s="22"/>
      <x:c r="N226" s="22"/>
      <x:c r="O226" s="22"/>
      <x:c r="P226" s="22"/>
      <x:c r="Q226" s="22"/>
    </x:row>
    <x:row r="227">
      <x:c r="A227" s="22" t="str">
        <x:f>IF(E227="","","RES-"&amp;TEXT(ROW()-2,"0000"))</x:f>
      </x:c>
      <x:c r="B227" s="22"/>
      <x:c r="C227" s="22"/>
      <x:c r="D227" s="22"/>
      <x:c r="E227" s="22"/>
      <x:c r="F227" s="22"/>
      <x:c r="G227" s="22"/>
      <x:c r="H227" s="26"/>
      <x:c r="I227" s="22"/>
      <x:c r="J227" s="22"/>
      <x:c r="K227" s="22"/>
      <x:c r="L227" s="22"/>
      <x:c r="M227" s="22"/>
      <x:c r="N227" s="22"/>
      <x:c r="O227" s="22"/>
      <x:c r="P227" s="22"/>
      <x:c r="Q227" s="22"/>
    </x:row>
    <x:row r="228">
      <x:c r="A228" s="22" t="str">
        <x:f>IF(E228="","","RES-"&amp;TEXT(ROW()-2,"0000"))</x:f>
      </x:c>
      <x:c r="B228" s="22"/>
      <x:c r="C228" s="22"/>
      <x:c r="D228" s="22"/>
      <x:c r="E228" s="22"/>
      <x:c r="F228" s="22"/>
      <x:c r="G228" s="22"/>
      <x:c r="H228" s="26"/>
      <x:c r="I228" s="22"/>
      <x:c r="J228" s="22"/>
      <x:c r="K228" s="22"/>
      <x:c r="L228" s="22"/>
      <x:c r="M228" s="22"/>
      <x:c r="N228" s="22"/>
      <x:c r="O228" s="22"/>
      <x:c r="P228" s="22"/>
      <x:c r="Q228" s="22"/>
    </x:row>
    <x:row r="229">
      <x:c r="A229" s="22" t="str">
        <x:f>IF(E229="","","RES-"&amp;TEXT(ROW()-2,"0000"))</x:f>
      </x:c>
      <x:c r="B229" s="22"/>
      <x:c r="C229" s="22"/>
      <x:c r="D229" s="22"/>
      <x:c r="E229" s="22"/>
      <x:c r="F229" s="22"/>
      <x:c r="G229" s="22"/>
      <x:c r="H229" s="26"/>
      <x:c r="I229" s="22"/>
      <x:c r="J229" s="22"/>
      <x:c r="K229" s="22"/>
      <x:c r="L229" s="22"/>
      <x:c r="M229" s="22"/>
      <x:c r="N229" s="22"/>
      <x:c r="O229" s="22"/>
      <x:c r="P229" s="22"/>
      <x:c r="Q229" s="22"/>
    </x:row>
    <x:row r="230">
      <x:c r="A230" s="22" t="str">
        <x:f>IF(E230="","","RES-"&amp;TEXT(ROW()-2,"0000"))</x:f>
      </x:c>
      <x:c r="B230" s="22"/>
      <x:c r="C230" s="22"/>
      <x:c r="D230" s="22"/>
      <x:c r="E230" s="22"/>
      <x:c r="F230" s="22"/>
      <x:c r="G230" s="22"/>
      <x:c r="H230" s="26"/>
      <x:c r="I230" s="22"/>
      <x:c r="J230" s="22"/>
      <x:c r="K230" s="22"/>
      <x:c r="L230" s="22"/>
      <x:c r="M230" s="22"/>
      <x:c r="N230" s="22"/>
      <x:c r="O230" s="22"/>
      <x:c r="P230" s="22"/>
      <x:c r="Q230" s="22"/>
    </x:row>
    <x:row r="231">
      <x:c r="A231" s="22" t="str">
        <x:f>IF(E231="","","RES-"&amp;TEXT(ROW()-2,"0000"))</x:f>
      </x:c>
      <x:c r="B231" s="22"/>
      <x:c r="C231" s="22"/>
      <x:c r="D231" s="22"/>
      <x:c r="E231" s="22"/>
      <x:c r="F231" s="22"/>
      <x:c r="G231" s="22"/>
      <x:c r="H231" s="26"/>
      <x:c r="I231" s="22"/>
      <x:c r="J231" s="22"/>
      <x:c r="K231" s="22"/>
      <x:c r="L231" s="22"/>
      <x:c r="M231" s="22"/>
      <x:c r="N231" s="22"/>
      <x:c r="O231" s="22"/>
      <x:c r="P231" s="22"/>
      <x:c r="Q231" s="22"/>
    </x:row>
    <x:row r="232">
      <x:c r="A232" s="22" t="str">
        <x:f>IF(E232="","","RES-"&amp;TEXT(ROW()-2,"0000"))</x:f>
      </x:c>
      <x:c r="B232" s="22"/>
      <x:c r="C232" s="22"/>
      <x:c r="D232" s="22"/>
      <x:c r="E232" s="22"/>
      <x:c r="F232" s="22"/>
      <x:c r="G232" s="22"/>
      <x:c r="H232" s="26"/>
      <x:c r="I232" s="22"/>
      <x:c r="J232" s="22"/>
      <x:c r="K232" s="22"/>
      <x:c r="L232" s="22"/>
      <x:c r="M232" s="22"/>
      <x:c r="N232" s="22"/>
      <x:c r="O232" s="22"/>
      <x:c r="P232" s="22"/>
      <x:c r="Q232" s="22"/>
    </x:row>
    <x:row r="233">
      <x:c r="A233" s="22" t="str">
        <x:f>IF(E233="","","RES-"&amp;TEXT(ROW()-2,"0000"))</x:f>
      </x:c>
      <x:c r="B233" s="22"/>
      <x:c r="C233" s="22"/>
      <x:c r="D233" s="22"/>
      <x:c r="E233" s="22"/>
      <x:c r="F233" s="22"/>
      <x:c r="G233" s="22"/>
      <x:c r="H233" s="26"/>
      <x:c r="I233" s="22"/>
      <x:c r="J233" s="22"/>
      <x:c r="K233" s="22"/>
      <x:c r="L233" s="22"/>
      <x:c r="M233" s="22"/>
      <x:c r="N233" s="22"/>
      <x:c r="O233" s="22"/>
      <x:c r="P233" s="22"/>
      <x:c r="Q233" s="22"/>
    </x:row>
    <x:row r="234">
      <x:c r="A234" s="22" t="str">
        <x:f>IF(E234="","","RES-"&amp;TEXT(ROW()-2,"0000"))</x:f>
      </x:c>
      <x:c r="B234" s="22"/>
      <x:c r="C234" s="22"/>
      <x:c r="D234" s="22"/>
      <x:c r="E234" s="22"/>
      <x:c r="F234" s="22"/>
      <x:c r="G234" s="22"/>
      <x:c r="H234" s="26"/>
      <x:c r="I234" s="22"/>
      <x:c r="J234" s="22"/>
      <x:c r="K234" s="22"/>
      <x:c r="L234" s="22"/>
      <x:c r="M234" s="22"/>
      <x:c r="N234" s="22"/>
      <x:c r="O234" s="22"/>
      <x:c r="P234" s="22"/>
      <x:c r="Q234" s="22"/>
    </x:row>
    <x:row r="235">
      <x:c r="A235" s="22" t="str">
        <x:f>IF(E235="","","RES-"&amp;TEXT(ROW()-2,"0000"))</x:f>
      </x:c>
      <x:c r="B235" s="22"/>
      <x:c r="C235" s="22"/>
      <x:c r="D235" s="22"/>
      <x:c r="E235" s="22"/>
      <x:c r="F235" s="22"/>
      <x:c r="G235" s="22"/>
      <x:c r="H235" s="26"/>
      <x:c r="I235" s="22"/>
      <x:c r="J235" s="22"/>
      <x:c r="K235" s="22"/>
      <x:c r="L235" s="22"/>
      <x:c r="M235" s="22"/>
      <x:c r="N235" s="22"/>
      <x:c r="O235" s="22"/>
      <x:c r="P235" s="22"/>
      <x:c r="Q235" s="22"/>
    </x:row>
    <x:row r="236">
      <x:c r="A236" s="22" t="str">
        <x:f>IF(E236="","","RES-"&amp;TEXT(ROW()-2,"0000"))</x:f>
      </x:c>
      <x:c r="B236" s="22"/>
      <x:c r="C236" s="22"/>
      <x:c r="D236" s="22"/>
      <x:c r="E236" s="22"/>
      <x:c r="F236" s="22"/>
      <x:c r="G236" s="22"/>
      <x:c r="H236" s="26"/>
      <x:c r="I236" s="22"/>
      <x:c r="J236" s="22"/>
      <x:c r="K236" s="22"/>
      <x:c r="L236" s="22"/>
      <x:c r="M236" s="22"/>
      <x:c r="N236" s="22"/>
      <x:c r="O236" s="22"/>
      <x:c r="P236" s="22"/>
      <x:c r="Q236" s="22"/>
    </x:row>
    <x:row r="237">
      <x:c r="A237" s="22" t="str">
        <x:f>IF(E237="","","RES-"&amp;TEXT(ROW()-2,"0000"))</x:f>
      </x:c>
      <x:c r="B237" s="22"/>
      <x:c r="C237" s="22"/>
      <x:c r="D237" s="22"/>
      <x:c r="E237" s="22"/>
      <x:c r="F237" s="22"/>
      <x:c r="G237" s="22"/>
      <x:c r="H237" s="26"/>
      <x:c r="I237" s="22"/>
      <x:c r="J237" s="22"/>
      <x:c r="K237" s="22"/>
      <x:c r="L237" s="22"/>
      <x:c r="M237" s="22"/>
      <x:c r="N237" s="22"/>
      <x:c r="O237" s="22"/>
      <x:c r="P237" s="22"/>
      <x:c r="Q237" s="22"/>
    </x:row>
    <x:row r="238">
      <x:c r="A238" s="22" t="str">
        <x:f>IF(E238="","","RES-"&amp;TEXT(ROW()-2,"0000"))</x:f>
      </x:c>
      <x:c r="B238" s="22"/>
      <x:c r="C238" s="22"/>
      <x:c r="D238" s="22"/>
      <x:c r="E238" s="22"/>
      <x:c r="F238" s="22"/>
      <x:c r="G238" s="22"/>
      <x:c r="H238" s="26"/>
      <x:c r="I238" s="22"/>
      <x:c r="J238" s="22"/>
      <x:c r="K238" s="22"/>
      <x:c r="L238" s="22"/>
      <x:c r="M238" s="22"/>
      <x:c r="N238" s="22"/>
      <x:c r="O238" s="22"/>
      <x:c r="P238" s="22"/>
      <x:c r="Q238" s="22"/>
    </x:row>
    <x:row r="239">
      <x:c r="A239" s="22" t="str">
        <x:f>IF(E239="","","RES-"&amp;TEXT(ROW()-2,"0000"))</x:f>
      </x:c>
      <x:c r="B239" s="22"/>
      <x:c r="C239" s="22"/>
      <x:c r="D239" s="22"/>
      <x:c r="E239" s="22"/>
      <x:c r="F239" s="22"/>
      <x:c r="G239" s="22"/>
      <x:c r="H239" s="26"/>
      <x:c r="I239" s="22"/>
      <x:c r="J239" s="22"/>
      <x:c r="K239" s="22"/>
      <x:c r="L239" s="22"/>
      <x:c r="M239" s="22"/>
      <x:c r="N239" s="22"/>
      <x:c r="O239" s="22"/>
      <x:c r="P239" s="22"/>
      <x:c r="Q239" s="22"/>
    </x:row>
    <x:row r="240">
      <x:c r="A240" s="22" t="str">
        <x:f>IF(E240="","","RES-"&amp;TEXT(ROW()-2,"0000"))</x:f>
      </x:c>
      <x:c r="B240" s="22"/>
      <x:c r="C240" s="22"/>
      <x:c r="D240" s="22"/>
      <x:c r="E240" s="22"/>
      <x:c r="F240" s="22"/>
      <x:c r="G240" s="22"/>
      <x:c r="H240" s="26"/>
      <x:c r="I240" s="22"/>
      <x:c r="J240" s="22"/>
      <x:c r="K240" s="22"/>
      <x:c r="L240" s="22"/>
      <x:c r="M240" s="22"/>
      <x:c r="N240" s="22"/>
      <x:c r="O240" s="22"/>
      <x:c r="P240" s="22"/>
      <x:c r="Q240" s="22"/>
    </x:row>
    <x:row r="241">
      <x:c r="A241" s="22" t="str">
        <x:f>IF(E241="","","RES-"&amp;TEXT(ROW()-2,"0000"))</x:f>
      </x:c>
      <x:c r="B241" s="22"/>
      <x:c r="C241" s="22"/>
      <x:c r="D241" s="22"/>
      <x:c r="E241" s="22"/>
      <x:c r="F241" s="22"/>
      <x:c r="G241" s="22"/>
      <x:c r="H241" s="26"/>
      <x:c r="I241" s="22"/>
      <x:c r="J241" s="22"/>
      <x:c r="K241" s="22"/>
      <x:c r="L241" s="22"/>
      <x:c r="M241" s="22"/>
      <x:c r="N241" s="22"/>
      <x:c r="O241" s="22"/>
      <x:c r="P241" s="22"/>
      <x:c r="Q241" s="22"/>
    </x:row>
    <x:row r="242">
      <x:c r="A242" s="22" t="str">
        <x:f>IF(E242="","","RES-"&amp;TEXT(ROW()-2,"0000"))</x:f>
      </x:c>
      <x:c r="B242" s="22"/>
      <x:c r="C242" s="22"/>
      <x:c r="D242" s="22"/>
      <x:c r="E242" s="22"/>
      <x:c r="F242" s="22"/>
      <x:c r="G242" s="22"/>
      <x:c r="H242" s="26"/>
      <x:c r="I242" s="22"/>
      <x:c r="J242" s="22"/>
      <x:c r="K242" s="22"/>
      <x:c r="L242" s="22"/>
      <x:c r="M242" s="22"/>
      <x:c r="N242" s="22"/>
      <x:c r="O242" s="22"/>
      <x:c r="P242" s="22"/>
      <x:c r="Q242" s="22"/>
    </x:row>
    <x:row r="243">
      <x:c r="A243" s="22" t="str">
        <x:f>IF(E243="","","RES-"&amp;TEXT(ROW()-2,"0000"))</x:f>
      </x:c>
      <x:c r="B243" s="22"/>
      <x:c r="C243" s="22"/>
      <x:c r="D243" s="22"/>
      <x:c r="E243" s="22"/>
      <x:c r="F243" s="22"/>
      <x:c r="G243" s="22"/>
      <x:c r="H243" s="26"/>
      <x:c r="I243" s="22"/>
      <x:c r="J243" s="22"/>
      <x:c r="K243" s="22"/>
      <x:c r="L243" s="22"/>
      <x:c r="M243" s="22"/>
      <x:c r="N243" s="22"/>
      <x:c r="O243" s="22"/>
      <x:c r="P243" s="22"/>
      <x:c r="Q243" s="22"/>
    </x:row>
    <x:row r="244">
      <x:c r="A244" s="22" t="str">
        <x:f>IF(E244="","","RES-"&amp;TEXT(ROW()-2,"0000"))</x:f>
      </x:c>
      <x:c r="B244" s="22"/>
      <x:c r="C244" s="22"/>
      <x:c r="D244" s="22"/>
      <x:c r="E244" s="22"/>
      <x:c r="F244" s="22"/>
      <x:c r="G244" s="22"/>
      <x:c r="H244" s="26"/>
      <x:c r="I244" s="22"/>
      <x:c r="J244" s="22"/>
      <x:c r="K244" s="22"/>
      <x:c r="L244" s="22"/>
      <x:c r="M244" s="22"/>
      <x:c r="N244" s="22"/>
      <x:c r="O244" s="22"/>
      <x:c r="P244" s="22"/>
      <x:c r="Q244" s="22"/>
    </x:row>
    <x:row r="245">
      <x:c r="A245" s="22" t="str">
        <x:f>IF(E245="","","RES-"&amp;TEXT(ROW()-2,"0000"))</x:f>
      </x:c>
      <x:c r="B245" s="22"/>
      <x:c r="C245" s="22"/>
      <x:c r="D245" s="22"/>
      <x:c r="E245" s="22"/>
      <x:c r="F245" s="22"/>
      <x:c r="G245" s="22"/>
      <x:c r="H245" s="26"/>
      <x:c r="I245" s="22"/>
      <x:c r="J245" s="22"/>
      <x:c r="K245" s="22"/>
      <x:c r="L245" s="22"/>
      <x:c r="M245" s="22"/>
      <x:c r="N245" s="22"/>
      <x:c r="O245" s="22"/>
      <x:c r="P245" s="22"/>
      <x:c r="Q245" s="22"/>
    </x:row>
    <x:row r="246">
      <x:c r="A246" s="22" t="str">
        <x:f>IF(E246="","","RES-"&amp;TEXT(ROW()-2,"0000"))</x:f>
      </x:c>
      <x:c r="B246" s="22"/>
      <x:c r="C246" s="22"/>
      <x:c r="D246" s="22"/>
      <x:c r="E246" s="22"/>
      <x:c r="F246" s="22"/>
      <x:c r="G246" s="22"/>
      <x:c r="H246" s="26"/>
      <x:c r="I246" s="22"/>
      <x:c r="J246" s="22"/>
      <x:c r="K246" s="22"/>
      <x:c r="L246" s="22"/>
      <x:c r="M246" s="22"/>
      <x:c r="N246" s="22"/>
      <x:c r="O246" s="22"/>
      <x:c r="P246" s="22"/>
      <x:c r="Q246" s="22"/>
    </x:row>
    <x:row r="247">
      <x:c r="A247" s="22" t="str">
        <x:f>IF(E247="","","RES-"&amp;TEXT(ROW()-2,"0000"))</x:f>
      </x:c>
      <x:c r="B247" s="22"/>
      <x:c r="C247" s="22"/>
      <x:c r="D247" s="22"/>
      <x:c r="E247" s="22"/>
      <x:c r="F247" s="22"/>
      <x:c r="G247" s="22"/>
      <x:c r="H247" s="26"/>
      <x:c r="I247" s="22"/>
      <x:c r="J247" s="22"/>
      <x:c r="K247" s="22"/>
      <x:c r="L247" s="22"/>
      <x:c r="M247" s="22"/>
      <x:c r="N247" s="22"/>
      <x:c r="O247" s="22"/>
      <x:c r="P247" s="22"/>
      <x:c r="Q247" s="22"/>
    </x:row>
    <x:row r="248">
      <x:c r="A248" s="22" t="str">
        <x:f>IF(E248="","","RES-"&amp;TEXT(ROW()-2,"0000"))</x:f>
      </x:c>
      <x:c r="B248" s="22"/>
      <x:c r="C248" s="22"/>
      <x:c r="D248" s="22"/>
      <x:c r="E248" s="22"/>
      <x:c r="F248" s="22"/>
      <x:c r="G248" s="22"/>
      <x:c r="H248" s="26"/>
      <x:c r="I248" s="22"/>
      <x:c r="J248" s="22"/>
      <x:c r="K248" s="22"/>
      <x:c r="L248" s="22"/>
      <x:c r="M248" s="22"/>
      <x:c r="N248" s="22"/>
      <x:c r="O248" s="22"/>
      <x:c r="P248" s="22"/>
      <x:c r="Q248" s="22"/>
    </x:row>
    <x:row r="249">
      <x:c r="A249" s="22" t="str">
        <x:f>IF(E249="","","RES-"&amp;TEXT(ROW()-2,"0000"))</x:f>
      </x:c>
      <x:c r="B249" s="22"/>
      <x:c r="C249" s="22"/>
      <x:c r="D249" s="22"/>
      <x:c r="E249" s="22"/>
      <x:c r="F249" s="22"/>
      <x:c r="G249" s="22"/>
      <x:c r="H249" s="26"/>
      <x:c r="I249" s="22"/>
      <x:c r="J249" s="22"/>
      <x:c r="K249" s="22"/>
      <x:c r="L249" s="22"/>
      <x:c r="M249" s="22"/>
      <x:c r="N249" s="22"/>
      <x:c r="O249" s="22"/>
      <x:c r="P249" s="22"/>
      <x:c r="Q249" s="22"/>
    </x:row>
    <x:row r="250">
      <x:c r="A250" s="22" t="str">
        <x:f>IF(E250="","","RES-"&amp;TEXT(ROW()-2,"0000"))</x:f>
      </x:c>
      <x:c r="B250" s="22"/>
      <x:c r="C250" s="22"/>
      <x:c r="D250" s="22"/>
      <x:c r="E250" s="22"/>
      <x:c r="F250" s="22"/>
      <x:c r="G250" s="22"/>
      <x:c r="H250" s="26"/>
      <x:c r="I250" s="22"/>
      <x:c r="J250" s="22"/>
      <x:c r="K250" s="22"/>
      <x:c r="L250" s="22"/>
      <x:c r="M250" s="22"/>
      <x:c r="N250" s="22"/>
      <x:c r="O250" s="22"/>
      <x:c r="P250" s="22"/>
      <x:c r="Q250" s="22"/>
    </x:row>
    <x:row r="251">
      <x:c r="A251" s="22" t="str">
        <x:f>IF(E251="","","RES-"&amp;TEXT(ROW()-2,"0000"))</x:f>
      </x:c>
      <x:c r="B251" s="22"/>
      <x:c r="C251" s="22"/>
      <x:c r="D251" s="22"/>
      <x:c r="E251" s="22"/>
      <x:c r="F251" s="22"/>
      <x:c r="G251" s="22"/>
      <x:c r="H251" s="26"/>
      <x:c r="I251" s="22"/>
      <x:c r="J251" s="22"/>
      <x:c r="K251" s="22"/>
      <x:c r="L251" s="22"/>
      <x:c r="M251" s="22"/>
      <x:c r="N251" s="22"/>
      <x:c r="O251" s="22"/>
      <x:c r="P251" s="22"/>
      <x:c r="Q251" s="22"/>
    </x:row>
    <x:row r="252">
      <x:c r="A252" s="22" t="str">
        <x:f>IF(E252="","","RES-"&amp;TEXT(ROW()-2,"0000"))</x:f>
      </x:c>
      <x:c r="B252" s="22"/>
      <x:c r="C252" s="22"/>
      <x:c r="D252" s="22"/>
      <x:c r="E252" s="22"/>
      <x:c r="F252" s="22"/>
      <x:c r="G252" s="22"/>
      <x:c r="H252" s="26"/>
      <x:c r="I252" s="22"/>
      <x:c r="J252" s="22"/>
      <x:c r="K252" s="22"/>
      <x:c r="L252" s="22"/>
      <x:c r="M252" s="22"/>
      <x:c r="N252" s="22"/>
      <x:c r="O252" s="22"/>
      <x:c r="P252" s="22"/>
      <x:c r="Q252" s="22"/>
    </x:row>
    <x:row r="253">
      <x:c r="A253" s="22" t="str">
        <x:f>IF(E253="","","RES-"&amp;TEXT(ROW()-2,"0000"))</x:f>
      </x:c>
      <x:c r="B253" s="22"/>
      <x:c r="C253" s="22"/>
      <x:c r="D253" s="22"/>
      <x:c r="E253" s="22"/>
      <x:c r="F253" s="22"/>
      <x:c r="G253" s="22"/>
      <x:c r="H253" s="26"/>
      <x:c r="I253" s="22"/>
      <x:c r="J253" s="22"/>
      <x:c r="K253" s="22"/>
      <x:c r="L253" s="22"/>
      <x:c r="M253" s="22"/>
      <x:c r="N253" s="22"/>
      <x:c r="O253" s="22"/>
      <x:c r="P253" s="22"/>
      <x:c r="Q253" s="22"/>
    </x:row>
    <x:row r="254">
      <x:c r="A254" s="22" t="str">
        <x:f>IF(E254="","","RES-"&amp;TEXT(ROW()-2,"0000"))</x:f>
      </x:c>
      <x:c r="B254" s="22"/>
      <x:c r="C254" s="22"/>
      <x:c r="D254" s="22"/>
      <x:c r="E254" s="22"/>
      <x:c r="F254" s="22"/>
      <x:c r="G254" s="22"/>
      <x:c r="H254" s="26"/>
      <x:c r="I254" s="22"/>
      <x:c r="J254" s="22"/>
      <x:c r="K254" s="22"/>
      <x:c r="L254" s="22"/>
      <x:c r="M254" s="22"/>
      <x:c r="N254" s="22"/>
      <x:c r="O254" s="22"/>
      <x:c r="P254" s="22"/>
      <x:c r="Q254" s="22"/>
    </x:row>
    <x:row r="255">
      <x:c r="A255" s="22" t="str">
        <x:f>IF(E255="","","RES-"&amp;TEXT(ROW()-2,"0000"))</x:f>
      </x:c>
      <x:c r="B255" s="22"/>
      <x:c r="C255" s="22"/>
      <x:c r="D255" s="22"/>
      <x:c r="E255" s="22"/>
      <x:c r="F255" s="22"/>
      <x:c r="G255" s="22"/>
      <x:c r="H255" s="26"/>
      <x:c r="I255" s="22"/>
      <x:c r="J255" s="22"/>
      <x:c r="K255" s="22"/>
      <x:c r="L255" s="22"/>
      <x:c r="M255" s="22"/>
      <x:c r="N255" s="22"/>
      <x:c r="O255" s="22"/>
      <x:c r="P255" s="22"/>
      <x:c r="Q255" s="22"/>
    </x:row>
    <x:row r="256">
      <x:c r="A256" s="22" t="str">
        <x:f>IF(E256="","","RES-"&amp;TEXT(ROW()-2,"0000"))</x:f>
      </x:c>
      <x:c r="B256" s="22"/>
      <x:c r="C256" s="22"/>
      <x:c r="D256" s="22"/>
      <x:c r="E256" s="22"/>
      <x:c r="F256" s="22"/>
      <x:c r="G256" s="22"/>
      <x:c r="H256" s="26"/>
      <x:c r="I256" s="22"/>
      <x:c r="J256" s="22"/>
      <x:c r="K256" s="22"/>
      <x:c r="L256" s="22"/>
      <x:c r="M256" s="22"/>
      <x:c r="N256" s="22"/>
      <x:c r="O256" s="22"/>
      <x:c r="P256" s="22"/>
      <x:c r="Q256" s="22"/>
    </x:row>
    <x:row r="257">
      <x:c r="A257" s="22" t="str">
        <x:f>IF(E257="","","RES-"&amp;TEXT(ROW()-2,"0000"))</x:f>
      </x:c>
      <x:c r="B257" s="22"/>
      <x:c r="C257" s="22"/>
      <x:c r="D257" s="22"/>
      <x:c r="E257" s="22"/>
      <x:c r="F257" s="22"/>
      <x:c r="G257" s="22"/>
      <x:c r="H257" s="26"/>
      <x:c r="I257" s="22"/>
      <x:c r="J257" s="22"/>
      <x:c r="K257" s="22"/>
      <x:c r="L257" s="22"/>
      <x:c r="M257" s="22"/>
      <x:c r="N257" s="22"/>
      <x:c r="O257" s="22"/>
      <x:c r="P257" s="22"/>
      <x:c r="Q257" s="22"/>
    </x:row>
    <x:row r="258">
      <x:c r="A258" s="22" t="str">
        <x:f>IF(E258="","","RES-"&amp;TEXT(ROW()-2,"0000"))</x:f>
      </x:c>
      <x:c r="B258" s="22"/>
      <x:c r="C258" s="22"/>
      <x:c r="D258" s="22"/>
      <x:c r="E258" s="22"/>
      <x:c r="F258" s="22"/>
      <x:c r="G258" s="22"/>
      <x:c r="H258" s="26"/>
      <x:c r="I258" s="22"/>
      <x:c r="J258" s="22"/>
      <x:c r="K258" s="22"/>
      <x:c r="L258" s="22"/>
      <x:c r="M258" s="22"/>
      <x:c r="N258" s="22"/>
      <x:c r="O258" s="22"/>
      <x:c r="P258" s="22"/>
      <x:c r="Q258" s="22"/>
    </x:row>
    <x:row r="259">
      <x:c r="A259" s="22" t="str">
        <x:f>IF(E259="","","RES-"&amp;TEXT(ROW()-2,"0000"))</x:f>
      </x:c>
      <x:c r="B259" s="22"/>
      <x:c r="C259" s="22"/>
      <x:c r="D259" s="22"/>
      <x:c r="E259" s="22"/>
      <x:c r="F259" s="22"/>
      <x:c r="G259" s="22"/>
      <x:c r="H259" s="26"/>
      <x:c r="I259" s="22"/>
      <x:c r="J259" s="22"/>
      <x:c r="K259" s="22"/>
      <x:c r="L259" s="22"/>
      <x:c r="M259" s="22"/>
      <x:c r="N259" s="22"/>
      <x:c r="O259" s="22"/>
      <x:c r="P259" s="22"/>
      <x:c r="Q259" s="22"/>
    </x:row>
    <x:row r="260">
      <x:c r="A260" s="22" t="str">
        <x:f>IF(E260="","","RES-"&amp;TEXT(ROW()-2,"0000"))</x:f>
      </x:c>
      <x:c r="B260" s="22"/>
      <x:c r="C260" s="22"/>
      <x:c r="D260" s="22"/>
      <x:c r="E260" s="22"/>
      <x:c r="F260" s="22"/>
      <x:c r="G260" s="22"/>
      <x:c r="H260" s="26"/>
      <x:c r="I260" s="22"/>
      <x:c r="J260" s="22"/>
      <x:c r="K260" s="22"/>
      <x:c r="L260" s="22"/>
      <x:c r="M260" s="22"/>
      <x:c r="N260" s="22"/>
      <x:c r="O260" s="22"/>
      <x:c r="P260" s="22"/>
      <x:c r="Q260" s="22"/>
    </x:row>
    <x:row r="261">
      <x:c r="A261" s="22" t="str">
        <x:f>IF(E261="","","RES-"&amp;TEXT(ROW()-2,"0000"))</x:f>
      </x:c>
      <x:c r="B261" s="22"/>
      <x:c r="C261" s="22"/>
      <x:c r="D261" s="22"/>
      <x:c r="E261" s="22"/>
      <x:c r="F261" s="22"/>
      <x:c r="G261" s="22"/>
      <x:c r="H261" s="26"/>
      <x:c r="I261" s="22"/>
      <x:c r="J261" s="22"/>
      <x:c r="K261" s="22"/>
      <x:c r="L261" s="22"/>
      <x:c r="M261" s="22"/>
      <x:c r="N261" s="22"/>
      <x:c r="O261" s="22"/>
      <x:c r="P261" s="22"/>
      <x:c r="Q261" s="22"/>
    </x:row>
    <x:row r="262">
      <x:c r="A262" s="22" t="str">
        <x:f>IF(E262="","","RES-"&amp;TEXT(ROW()-2,"0000"))</x:f>
      </x:c>
      <x:c r="B262" s="22"/>
      <x:c r="C262" s="22"/>
      <x:c r="D262" s="22"/>
      <x:c r="E262" s="22"/>
      <x:c r="F262" s="22"/>
      <x:c r="G262" s="22"/>
      <x:c r="H262" s="26"/>
      <x:c r="I262" s="22"/>
      <x:c r="J262" s="22"/>
      <x:c r="K262" s="22"/>
      <x:c r="L262" s="22"/>
      <x:c r="M262" s="22"/>
      <x:c r="N262" s="22"/>
      <x:c r="O262" s="22"/>
      <x:c r="P262" s="22"/>
      <x:c r="Q262" s="22"/>
    </x:row>
    <x:row r="263">
      <x:c r="A263" s="22" t="str">
        <x:f>IF(E263="","","RES-"&amp;TEXT(ROW()-2,"0000"))</x:f>
      </x:c>
      <x:c r="B263" s="22"/>
      <x:c r="C263" s="22"/>
      <x:c r="D263" s="22"/>
      <x:c r="E263" s="22"/>
      <x:c r="F263" s="22"/>
      <x:c r="G263" s="22"/>
      <x:c r="H263" s="26"/>
      <x:c r="I263" s="22"/>
      <x:c r="J263" s="22"/>
      <x:c r="K263" s="22"/>
      <x:c r="L263" s="22"/>
      <x:c r="M263" s="22"/>
      <x:c r="N263" s="22"/>
      <x:c r="O263" s="22"/>
      <x:c r="P263" s="22"/>
      <x:c r="Q263" s="22"/>
    </x:row>
    <x:row r="264">
      <x:c r="A264" s="22" t="str">
        <x:f>IF(E264="","","RES-"&amp;TEXT(ROW()-2,"0000"))</x:f>
      </x:c>
      <x:c r="B264" s="22"/>
      <x:c r="C264" s="22"/>
      <x:c r="D264" s="22"/>
      <x:c r="E264" s="22"/>
      <x:c r="F264" s="22"/>
      <x:c r="G264" s="22"/>
      <x:c r="H264" s="26"/>
      <x:c r="I264" s="22"/>
      <x:c r="J264" s="22"/>
      <x:c r="K264" s="22"/>
      <x:c r="L264" s="22"/>
      <x:c r="M264" s="22"/>
      <x:c r="N264" s="22"/>
      <x:c r="O264" s="22"/>
      <x:c r="P264" s="22"/>
      <x:c r="Q264" s="22"/>
    </x:row>
    <x:row r="265">
      <x:c r="A265" s="22" t="str">
        <x:f>IF(E265="","","RES-"&amp;TEXT(ROW()-2,"0000"))</x:f>
      </x:c>
      <x:c r="B265" s="22"/>
      <x:c r="C265" s="22"/>
      <x:c r="D265" s="22"/>
      <x:c r="E265" s="22"/>
      <x:c r="F265" s="22"/>
      <x:c r="G265" s="22"/>
      <x:c r="H265" s="26"/>
      <x:c r="I265" s="22"/>
      <x:c r="J265" s="22"/>
      <x:c r="K265" s="22"/>
      <x:c r="L265" s="22"/>
      <x:c r="M265" s="22"/>
      <x:c r="N265" s="22"/>
      <x:c r="O265" s="22"/>
      <x:c r="P265" s="22"/>
      <x:c r="Q265" s="22"/>
    </x:row>
    <x:row r="266">
      <x:c r="A266" s="22" t="str">
        <x:f>IF(E266="","","RES-"&amp;TEXT(ROW()-2,"0000"))</x:f>
      </x:c>
      <x:c r="B266" s="22"/>
      <x:c r="C266" s="22"/>
      <x:c r="D266" s="22"/>
      <x:c r="E266" s="22"/>
      <x:c r="F266" s="22"/>
      <x:c r="G266" s="22"/>
      <x:c r="H266" s="26"/>
      <x:c r="I266" s="22"/>
      <x:c r="J266" s="22"/>
      <x:c r="K266" s="22"/>
      <x:c r="L266" s="22"/>
      <x:c r="M266" s="22"/>
      <x:c r="N266" s="22"/>
      <x:c r="O266" s="22"/>
      <x:c r="P266" s="22"/>
      <x:c r="Q266" s="22"/>
    </x:row>
    <x:row r="267">
      <x:c r="A267" s="22" t="str">
        <x:f>IF(E267="","","RES-"&amp;TEXT(ROW()-2,"0000"))</x:f>
      </x:c>
      <x:c r="B267" s="22"/>
      <x:c r="C267" s="22"/>
      <x:c r="D267" s="22"/>
      <x:c r="E267" s="22"/>
      <x:c r="F267" s="22"/>
      <x:c r="G267" s="22"/>
      <x:c r="H267" s="26"/>
      <x:c r="I267" s="22"/>
      <x:c r="J267" s="22"/>
      <x:c r="K267" s="22"/>
      <x:c r="L267" s="22"/>
      <x:c r="M267" s="22"/>
      <x:c r="N267" s="22"/>
      <x:c r="O267" s="22"/>
      <x:c r="P267" s="22"/>
      <x:c r="Q267" s="22"/>
    </x:row>
    <x:row r="268">
      <x:c r="A268" s="22" t="str">
        <x:f>IF(E268="","","RES-"&amp;TEXT(ROW()-2,"0000"))</x:f>
      </x:c>
      <x:c r="B268" s="22"/>
      <x:c r="C268" s="22"/>
      <x:c r="D268" s="22"/>
      <x:c r="E268" s="22"/>
      <x:c r="F268" s="22"/>
      <x:c r="G268" s="22"/>
      <x:c r="H268" s="26"/>
      <x:c r="I268" s="22"/>
      <x:c r="J268" s="22"/>
      <x:c r="K268" s="22"/>
      <x:c r="L268" s="22"/>
      <x:c r="M268" s="22"/>
      <x:c r="N268" s="22"/>
      <x:c r="O268" s="22"/>
      <x:c r="P268" s="22"/>
      <x:c r="Q268" s="22"/>
    </x:row>
    <x:row r="269">
      <x:c r="A269" s="22" t="str">
        <x:f>IF(E269="","","RES-"&amp;TEXT(ROW()-2,"0000"))</x:f>
      </x:c>
      <x:c r="B269" s="22"/>
      <x:c r="C269" s="22"/>
      <x:c r="D269" s="22"/>
      <x:c r="E269" s="22"/>
      <x:c r="F269" s="22"/>
      <x:c r="G269" s="22"/>
      <x:c r="H269" s="26"/>
      <x:c r="I269" s="22"/>
      <x:c r="J269" s="22"/>
      <x:c r="K269" s="22"/>
      <x:c r="L269" s="22"/>
      <x:c r="M269" s="22"/>
      <x:c r="N269" s="22"/>
      <x:c r="O269" s="22"/>
      <x:c r="P269" s="22"/>
      <x:c r="Q269" s="22"/>
    </x:row>
    <x:row r="270">
      <x:c r="A270" s="22" t="str">
        <x:f>IF(E270="","","RES-"&amp;TEXT(ROW()-2,"0000"))</x:f>
      </x:c>
      <x:c r="B270" s="22"/>
      <x:c r="C270" s="22"/>
      <x:c r="D270" s="22"/>
      <x:c r="E270" s="22"/>
      <x:c r="F270" s="22"/>
      <x:c r="G270" s="22"/>
      <x:c r="H270" s="26"/>
      <x:c r="I270" s="22"/>
      <x:c r="J270" s="22"/>
      <x:c r="K270" s="22"/>
      <x:c r="L270" s="22"/>
      <x:c r="M270" s="22"/>
      <x:c r="N270" s="22"/>
      <x:c r="O270" s="22"/>
      <x:c r="P270" s="22"/>
      <x:c r="Q270" s="22"/>
    </x:row>
    <x:row r="271">
      <x:c r="A271" s="22" t="str">
        <x:f>IF(E271="","","RES-"&amp;TEXT(ROW()-2,"0000"))</x:f>
      </x:c>
      <x:c r="B271" s="22"/>
      <x:c r="C271" s="22"/>
      <x:c r="D271" s="22"/>
      <x:c r="E271" s="22"/>
      <x:c r="F271" s="22"/>
      <x:c r="G271" s="22"/>
      <x:c r="H271" s="26"/>
      <x:c r="I271" s="22"/>
      <x:c r="J271" s="22"/>
      <x:c r="K271" s="22"/>
      <x:c r="L271" s="22"/>
      <x:c r="M271" s="22"/>
      <x:c r="N271" s="22"/>
      <x:c r="O271" s="22"/>
      <x:c r="P271" s="22"/>
      <x:c r="Q271" s="22"/>
    </x:row>
    <x:row r="272">
      <x:c r="A272" s="22" t="str">
        <x:f>IF(E272="","","RES-"&amp;TEXT(ROW()-2,"0000"))</x:f>
      </x:c>
      <x:c r="B272" s="22"/>
      <x:c r="C272" s="22"/>
      <x:c r="D272" s="22"/>
      <x:c r="E272" s="22"/>
      <x:c r="F272" s="22"/>
      <x:c r="G272" s="22"/>
      <x:c r="H272" s="26"/>
      <x:c r="I272" s="22"/>
      <x:c r="J272" s="22"/>
      <x:c r="K272" s="22"/>
      <x:c r="L272" s="22"/>
      <x:c r="M272" s="22"/>
      <x:c r="N272" s="22"/>
      <x:c r="O272" s="22"/>
      <x:c r="P272" s="22"/>
      <x:c r="Q272" s="22"/>
    </x:row>
    <x:row r="273">
      <x:c r="A273" s="22" t="str">
        <x:f>IF(E273="","","RES-"&amp;TEXT(ROW()-2,"0000"))</x:f>
      </x:c>
      <x:c r="B273" s="22"/>
      <x:c r="C273" s="22"/>
      <x:c r="D273" s="22"/>
      <x:c r="E273" s="22"/>
      <x:c r="F273" s="22"/>
      <x:c r="G273" s="22"/>
      <x:c r="H273" s="26"/>
      <x:c r="I273" s="22"/>
      <x:c r="J273" s="22"/>
      <x:c r="K273" s="22"/>
      <x:c r="L273" s="22"/>
      <x:c r="M273" s="22"/>
      <x:c r="N273" s="22"/>
      <x:c r="O273" s="22"/>
      <x:c r="P273" s="22"/>
      <x:c r="Q273" s="22"/>
    </x:row>
    <x:row r="274">
      <x:c r="A274" s="22" t="str">
        <x:f>IF(E274="","","RES-"&amp;TEXT(ROW()-2,"0000"))</x:f>
      </x:c>
      <x:c r="B274" s="22"/>
      <x:c r="C274" s="22"/>
      <x:c r="D274" s="22"/>
      <x:c r="E274" s="22"/>
      <x:c r="F274" s="22"/>
      <x:c r="G274" s="22"/>
      <x:c r="H274" s="26"/>
      <x:c r="I274" s="22"/>
      <x:c r="J274" s="22"/>
      <x:c r="K274" s="22"/>
      <x:c r="L274" s="22"/>
      <x:c r="M274" s="22"/>
      <x:c r="N274" s="22"/>
      <x:c r="O274" s="22"/>
      <x:c r="P274" s="22"/>
      <x:c r="Q274" s="22"/>
    </x:row>
    <x:row r="275">
      <x:c r="A275" s="22" t="str">
        <x:f>IF(E275="","","RES-"&amp;TEXT(ROW()-2,"0000"))</x:f>
      </x:c>
      <x:c r="B275" s="22"/>
      <x:c r="C275" s="22"/>
      <x:c r="D275" s="22"/>
      <x:c r="E275" s="22"/>
      <x:c r="F275" s="22"/>
      <x:c r="G275" s="22"/>
      <x:c r="H275" s="26"/>
      <x:c r="I275" s="22"/>
      <x:c r="J275" s="22"/>
      <x:c r="K275" s="22"/>
      <x:c r="L275" s="22"/>
      <x:c r="M275" s="22"/>
      <x:c r="N275" s="22"/>
      <x:c r="O275" s="22"/>
      <x:c r="P275" s="22"/>
      <x:c r="Q275" s="22"/>
    </x:row>
    <x:row r="276">
      <x:c r="A276" s="22" t="str">
        <x:f>IF(E276="","","RES-"&amp;TEXT(ROW()-2,"0000"))</x:f>
      </x:c>
      <x:c r="B276" s="22"/>
      <x:c r="C276" s="22"/>
      <x:c r="D276" s="22"/>
      <x:c r="E276" s="22"/>
      <x:c r="F276" s="22"/>
      <x:c r="G276" s="22"/>
      <x:c r="H276" s="26"/>
      <x:c r="I276" s="22"/>
      <x:c r="J276" s="22"/>
      <x:c r="K276" s="22"/>
      <x:c r="L276" s="22"/>
      <x:c r="M276" s="22"/>
      <x:c r="N276" s="22"/>
      <x:c r="O276" s="22"/>
      <x:c r="P276" s="22"/>
      <x:c r="Q276" s="22"/>
    </x:row>
    <x:row r="277">
      <x:c r="A277" s="22" t="str">
        <x:f>IF(E277="","","RES-"&amp;TEXT(ROW()-2,"0000"))</x:f>
      </x:c>
      <x:c r="B277" s="22"/>
      <x:c r="C277" s="22"/>
      <x:c r="D277" s="22"/>
      <x:c r="E277" s="22"/>
      <x:c r="F277" s="22"/>
      <x:c r="G277" s="22"/>
      <x:c r="H277" s="26"/>
      <x:c r="I277" s="22"/>
      <x:c r="J277" s="22"/>
      <x:c r="K277" s="22"/>
      <x:c r="L277" s="22"/>
      <x:c r="M277" s="22"/>
      <x:c r="N277" s="22"/>
      <x:c r="O277" s="22"/>
      <x:c r="P277" s="22"/>
      <x:c r="Q277" s="22"/>
    </x:row>
    <x:row r="278">
      <x:c r="A278" s="22" t="str">
        <x:f>IF(E278="","","RES-"&amp;TEXT(ROW()-2,"0000"))</x:f>
      </x:c>
      <x:c r="B278" s="22"/>
      <x:c r="C278" s="22"/>
      <x:c r="D278" s="22"/>
      <x:c r="E278" s="22"/>
      <x:c r="F278" s="22"/>
      <x:c r="G278" s="22"/>
      <x:c r="H278" s="26"/>
      <x:c r="I278" s="22"/>
      <x:c r="J278" s="22"/>
      <x:c r="K278" s="22"/>
      <x:c r="L278" s="22"/>
      <x:c r="M278" s="22"/>
      <x:c r="N278" s="22"/>
      <x:c r="O278" s="22"/>
      <x:c r="P278" s="22"/>
      <x:c r="Q278" s="22"/>
    </x:row>
    <x:row r="279">
      <x:c r="A279" s="22" t="str">
        <x:f>IF(E279="","","RES-"&amp;TEXT(ROW()-2,"0000"))</x:f>
      </x:c>
      <x:c r="B279" s="22"/>
      <x:c r="C279" s="22"/>
      <x:c r="D279" s="22"/>
      <x:c r="E279" s="22"/>
      <x:c r="F279" s="22"/>
      <x:c r="G279" s="22"/>
      <x:c r="H279" s="26"/>
      <x:c r="I279" s="22"/>
      <x:c r="J279" s="22"/>
      <x:c r="K279" s="22"/>
      <x:c r="L279" s="22"/>
      <x:c r="M279" s="22"/>
      <x:c r="N279" s="22"/>
      <x:c r="O279" s="22"/>
      <x:c r="P279" s="22"/>
      <x:c r="Q279" s="22"/>
    </x:row>
    <x:row r="280">
      <x:c r="A280" s="22" t="str">
        <x:f>IF(E280="","","RES-"&amp;TEXT(ROW()-2,"0000"))</x:f>
      </x:c>
      <x:c r="B280" s="22"/>
      <x:c r="C280" s="22"/>
      <x:c r="D280" s="22"/>
      <x:c r="E280" s="22"/>
      <x:c r="F280" s="22"/>
      <x:c r="G280" s="22"/>
      <x:c r="H280" s="26"/>
      <x:c r="I280" s="22"/>
      <x:c r="J280" s="22"/>
      <x:c r="K280" s="22"/>
      <x:c r="L280" s="22"/>
      <x:c r="M280" s="22"/>
      <x:c r="N280" s="22"/>
      <x:c r="O280" s="22"/>
      <x:c r="P280" s="22"/>
      <x:c r="Q280" s="22"/>
    </x:row>
    <x:row r="281">
      <x:c r="A281" s="22" t="str">
        <x:f>IF(E281="","","RES-"&amp;TEXT(ROW()-2,"0000"))</x:f>
      </x:c>
      <x:c r="B281" s="22"/>
      <x:c r="C281" s="22"/>
      <x:c r="D281" s="22"/>
      <x:c r="E281" s="22"/>
      <x:c r="F281" s="22"/>
      <x:c r="G281" s="22"/>
      <x:c r="H281" s="26"/>
      <x:c r="I281" s="22"/>
      <x:c r="J281" s="22"/>
      <x:c r="K281" s="22"/>
      <x:c r="L281" s="22"/>
      <x:c r="M281" s="22"/>
      <x:c r="N281" s="22"/>
      <x:c r="O281" s="22"/>
      <x:c r="P281" s="22"/>
      <x:c r="Q281" s="22"/>
    </x:row>
    <x:row r="282">
      <x:c r="A282" s="22" t="str">
        <x:f>IF(E282="","","RES-"&amp;TEXT(ROW()-2,"0000"))</x:f>
      </x:c>
      <x:c r="B282" s="22"/>
      <x:c r="C282" s="22"/>
      <x:c r="D282" s="22"/>
      <x:c r="E282" s="22"/>
      <x:c r="F282" s="22"/>
      <x:c r="G282" s="22"/>
      <x:c r="H282" s="26"/>
      <x:c r="I282" s="22"/>
      <x:c r="J282" s="22"/>
      <x:c r="K282" s="22"/>
      <x:c r="L282" s="22"/>
      <x:c r="M282" s="22"/>
      <x:c r="N282" s="22"/>
      <x:c r="O282" s="22"/>
      <x:c r="P282" s="22"/>
      <x:c r="Q282" s="22"/>
    </x:row>
    <x:row r="283">
      <x:c r="A283" s="22" t="str">
        <x:f>IF(E283="","","RES-"&amp;TEXT(ROW()-2,"0000"))</x:f>
      </x:c>
      <x:c r="B283" s="22"/>
      <x:c r="C283" s="22"/>
      <x:c r="D283" s="22"/>
      <x:c r="E283" s="22"/>
      <x:c r="F283" s="22"/>
      <x:c r="G283" s="22"/>
      <x:c r="H283" s="26"/>
      <x:c r="I283" s="22"/>
      <x:c r="J283" s="22"/>
      <x:c r="K283" s="22"/>
      <x:c r="L283" s="22"/>
      <x:c r="M283" s="22"/>
      <x:c r="N283" s="22"/>
      <x:c r="O283" s="22"/>
      <x:c r="P283" s="22"/>
      <x:c r="Q283" s="22"/>
    </x:row>
    <x:row r="284">
      <x:c r="A284" s="22" t="str">
        <x:f>IF(E284="","","RES-"&amp;TEXT(ROW()-2,"0000"))</x:f>
      </x:c>
      <x:c r="B284" s="22"/>
      <x:c r="C284" s="22"/>
      <x:c r="D284" s="22"/>
      <x:c r="E284" s="22"/>
      <x:c r="F284" s="22"/>
      <x:c r="G284" s="22"/>
      <x:c r="H284" s="26"/>
      <x:c r="I284" s="22"/>
      <x:c r="J284" s="22"/>
      <x:c r="K284" s="22"/>
      <x:c r="L284" s="22"/>
      <x:c r="M284" s="22"/>
      <x:c r="N284" s="22"/>
      <x:c r="O284" s="22"/>
      <x:c r="P284" s="22"/>
      <x:c r="Q284" s="22"/>
    </x:row>
    <x:row r="285">
      <x:c r="A285" s="22" t="str">
        <x:f>IF(E285="","","RES-"&amp;TEXT(ROW()-2,"0000"))</x:f>
      </x:c>
      <x:c r="B285" s="22"/>
      <x:c r="C285" s="22"/>
      <x:c r="D285" s="22"/>
      <x:c r="E285" s="22"/>
      <x:c r="F285" s="22"/>
      <x:c r="G285" s="22"/>
      <x:c r="H285" s="26"/>
      <x:c r="I285" s="22"/>
      <x:c r="J285" s="22"/>
      <x:c r="K285" s="22"/>
      <x:c r="L285" s="22"/>
      <x:c r="M285" s="22"/>
      <x:c r="N285" s="22"/>
      <x:c r="O285" s="22"/>
      <x:c r="P285" s="22"/>
      <x:c r="Q285" s="22"/>
    </x:row>
    <x:row r="286">
      <x:c r="A286" s="22" t="str">
        <x:f>IF(E286="","","RES-"&amp;TEXT(ROW()-2,"0000"))</x:f>
      </x:c>
      <x:c r="B286" s="22"/>
      <x:c r="C286" s="22"/>
      <x:c r="D286" s="22"/>
      <x:c r="E286" s="22"/>
      <x:c r="F286" s="22"/>
      <x:c r="G286" s="22"/>
      <x:c r="H286" s="26"/>
      <x:c r="I286" s="22"/>
      <x:c r="J286" s="22"/>
      <x:c r="K286" s="22"/>
      <x:c r="L286" s="22"/>
      <x:c r="M286" s="22"/>
      <x:c r="N286" s="22"/>
      <x:c r="O286" s="22"/>
      <x:c r="P286" s="22"/>
      <x:c r="Q286" s="22"/>
    </x:row>
    <x:row r="287">
      <x:c r="A287" s="22" t="str">
        <x:f>IF(E287="","","RES-"&amp;TEXT(ROW()-2,"0000"))</x:f>
      </x:c>
      <x:c r="B287" s="22"/>
      <x:c r="C287" s="22"/>
      <x:c r="D287" s="22"/>
      <x:c r="E287" s="22"/>
      <x:c r="F287" s="22"/>
      <x:c r="G287" s="22"/>
      <x:c r="H287" s="26"/>
      <x:c r="I287" s="22"/>
      <x:c r="J287" s="22"/>
      <x:c r="K287" s="22"/>
      <x:c r="L287" s="22"/>
      <x:c r="M287" s="22"/>
      <x:c r="N287" s="22"/>
      <x:c r="O287" s="22"/>
      <x:c r="P287" s="22"/>
      <x:c r="Q287" s="22"/>
    </x:row>
    <x:row r="288">
      <x:c r="A288" s="22" t="str">
        <x:f>IF(E288="","","RES-"&amp;TEXT(ROW()-2,"0000"))</x:f>
      </x:c>
      <x:c r="B288" s="22"/>
      <x:c r="C288" s="22"/>
      <x:c r="D288" s="22"/>
      <x:c r="E288" s="22"/>
      <x:c r="F288" s="22"/>
      <x:c r="G288" s="22"/>
      <x:c r="H288" s="26"/>
      <x:c r="I288" s="22"/>
      <x:c r="J288" s="22"/>
      <x:c r="K288" s="22"/>
      <x:c r="L288" s="22"/>
      <x:c r="M288" s="22"/>
      <x:c r="N288" s="22"/>
      <x:c r="O288" s="22"/>
      <x:c r="P288" s="22"/>
      <x:c r="Q288" s="22"/>
    </x:row>
    <x:row r="289">
      <x:c r="A289" s="22" t="str">
        <x:f>IF(E289="","","RES-"&amp;TEXT(ROW()-2,"0000"))</x:f>
      </x:c>
      <x:c r="B289" s="22"/>
      <x:c r="C289" s="22"/>
      <x:c r="D289" s="22"/>
      <x:c r="E289" s="22"/>
      <x:c r="F289" s="22"/>
      <x:c r="G289" s="22"/>
      <x:c r="H289" s="26"/>
      <x:c r="I289" s="22"/>
      <x:c r="J289" s="22"/>
      <x:c r="K289" s="22"/>
      <x:c r="L289" s="22"/>
      <x:c r="M289" s="22"/>
      <x:c r="N289" s="22"/>
      <x:c r="O289" s="22"/>
      <x:c r="P289" s="22"/>
      <x:c r="Q289" s="22"/>
    </x:row>
    <x:row r="290">
      <x:c r="A290" s="22" t="str">
        <x:f>IF(E290="","","RES-"&amp;TEXT(ROW()-2,"0000"))</x:f>
      </x:c>
      <x:c r="B290" s="22"/>
      <x:c r="C290" s="22"/>
      <x:c r="D290" s="22"/>
      <x:c r="E290" s="22"/>
      <x:c r="F290" s="22"/>
      <x:c r="G290" s="22"/>
      <x:c r="H290" s="26"/>
      <x:c r="I290" s="22"/>
      <x:c r="J290" s="22"/>
      <x:c r="K290" s="22"/>
      <x:c r="L290" s="22"/>
      <x:c r="M290" s="22"/>
      <x:c r="N290" s="22"/>
      <x:c r="O290" s="22"/>
      <x:c r="P290" s="22"/>
      <x:c r="Q290" s="22"/>
    </x:row>
    <x:row r="291">
      <x:c r="A291" s="22" t="str">
        <x:f>IF(E291="","","RES-"&amp;TEXT(ROW()-2,"0000"))</x:f>
      </x:c>
      <x:c r="B291" s="22"/>
      <x:c r="C291" s="22"/>
      <x:c r="D291" s="22"/>
      <x:c r="E291" s="22"/>
      <x:c r="F291" s="22"/>
      <x:c r="G291" s="22"/>
      <x:c r="H291" s="26"/>
      <x:c r="I291" s="22"/>
      <x:c r="J291" s="22"/>
      <x:c r="K291" s="22"/>
      <x:c r="L291" s="22"/>
      <x:c r="M291" s="22"/>
      <x:c r="N291" s="22"/>
      <x:c r="O291" s="22"/>
      <x:c r="P291" s="22"/>
      <x:c r="Q291" s="22"/>
    </x:row>
    <x:row r="292">
      <x:c r="A292" s="22" t="str">
        <x:f>IF(E292="","","RES-"&amp;TEXT(ROW()-2,"0000"))</x:f>
      </x:c>
      <x:c r="B292" s="22"/>
      <x:c r="C292" s="22"/>
      <x:c r="D292" s="22"/>
      <x:c r="E292" s="22"/>
      <x:c r="F292" s="22"/>
      <x:c r="G292" s="22"/>
      <x:c r="H292" s="26"/>
      <x:c r="I292" s="22"/>
      <x:c r="J292" s="22"/>
      <x:c r="K292" s="22"/>
      <x:c r="L292" s="22"/>
      <x:c r="M292" s="22"/>
      <x:c r="N292" s="22"/>
      <x:c r="O292" s="22"/>
      <x:c r="P292" s="22"/>
      <x:c r="Q292" s="22"/>
    </x:row>
    <x:row r="293">
      <x:c r="A293" s="22" t="str">
        <x:f>IF(E293="","","RES-"&amp;TEXT(ROW()-2,"0000"))</x:f>
      </x:c>
      <x:c r="B293" s="22"/>
      <x:c r="C293" s="22"/>
      <x:c r="D293" s="22"/>
      <x:c r="E293" s="22"/>
      <x:c r="F293" s="22"/>
      <x:c r="G293" s="22"/>
      <x:c r="H293" s="26"/>
      <x:c r="I293" s="22"/>
      <x:c r="J293" s="22"/>
      <x:c r="K293" s="22"/>
      <x:c r="L293" s="22"/>
      <x:c r="M293" s="22"/>
      <x:c r="N293" s="22"/>
      <x:c r="O293" s="22"/>
      <x:c r="P293" s="22"/>
      <x:c r="Q293" s="22"/>
    </x:row>
    <x:row r="294">
      <x:c r="A294" s="22" t="str">
        <x:f>IF(E294="","","RES-"&amp;TEXT(ROW()-2,"0000"))</x:f>
      </x:c>
      <x:c r="B294" s="22"/>
      <x:c r="C294" s="22"/>
      <x:c r="D294" s="22"/>
      <x:c r="E294" s="22"/>
      <x:c r="F294" s="22"/>
      <x:c r="G294" s="22"/>
      <x:c r="H294" s="26"/>
      <x:c r="I294" s="22"/>
      <x:c r="J294" s="22"/>
      <x:c r="K294" s="22"/>
      <x:c r="L294" s="22"/>
      <x:c r="M294" s="22"/>
      <x:c r="N294" s="22"/>
      <x:c r="O294" s="22"/>
      <x:c r="P294" s="22"/>
      <x:c r="Q294" s="22"/>
    </x:row>
    <x:row r="295">
      <x:c r="A295" s="22" t="str">
        <x:f>IF(E295="","","RES-"&amp;TEXT(ROW()-2,"0000"))</x:f>
      </x:c>
      <x:c r="B295" s="22"/>
      <x:c r="C295" s="22"/>
      <x:c r="D295" s="22"/>
      <x:c r="E295" s="22"/>
      <x:c r="F295" s="22"/>
      <x:c r="G295" s="22"/>
      <x:c r="H295" s="26"/>
      <x:c r="I295" s="22"/>
      <x:c r="J295" s="22"/>
      <x:c r="K295" s="22"/>
      <x:c r="L295" s="22"/>
      <x:c r="M295" s="22"/>
      <x:c r="N295" s="22"/>
      <x:c r="O295" s="22"/>
      <x:c r="P295" s="22"/>
      <x:c r="Q295" s="22"/>
    </x:row>
    <x:row r="296">
      <x:c r="A296" s="22" t="str">
        <x:f>IF(E296="","","RES-"&amp;TEXT(ROW()-2,"0000"))</x:f>
      </x:c>
      <x:c r="B296" s="22"/>
      <x:c r="C296" s="22"/>
      <x:c r="D296" s="22"/>
      <x:c r="E296" s="22"/>
      <x:c r="F296" s="22"/>
      <x:c r="G296" s="22"/>
      <x:c r="H296" s="26"/>
      <x:c r="I296" s="22"/>
      <x:c r="J296" s="22"/>
      <x:c r="K296" s="22"/>
      <x:c r="L296" s="22"/>
      <x:c r="M296" s="22"/>
      <x:c r="N296" s="22"/>
      <x:c r="O296" s="22"/>
      <x:c r="P296" s="22"/>
      <x:c r="Q296" s="22"/>
    </x:row>
    <x:row r="297">
      <x:c r="A297" s="22" t="str">
        <x:f>IF(E297="","","RES-"&amp;TEXT(ROW()-2,"0000"))</x:f>
      </x:c>
      <x:c r="B297" s="22"/>
      <x:c r="C297" s="22"/>
      <x:c r="D297" s="22"/>
      <x:c r="E297" s="22"/>
      <x:c r="F297" s="22"/>
      <x:c r="G297" s="22"/>
      <x:c r="H297" s="26"/>
      <x:c r="I297" s="22"/>
      <x:c r="J297" s="22"/>
      <x:c r="K297" s="22"/>
      <x:c r="L297" s="22"/>
      <x:c r="M297" s="22"/>
      <x:c r="N297" s="22"/>
      <x:c r="O297" s="22"/>
      <x:c r="P297" s="22"/>
      <x:c r="Q297" s="22"/>
    </x:row>
    <x:row r="298">
      <x:c r="A298" s="22" t="str">
        <x:f>IF(E298="","","RES-"&amp;TEXT(ROW()-2,"0000"))</x:f>
      </x:c>
      <x:c r="B298" s="22"/>
      <x:c r="C298" s="22"/>
      <x:c r="D298" s="22"/>
      <x:c r="E298" s="22"/>
      <x:c r="F298" s="22"/>
      <x:c r="G298" s="22"/>
      <x:c r="H298" s="26"/>
      <x:c r="I298" s="22"/>
      <x:c r="J298" s="22"/>
      <x:c r="K298" s="22"/>
      <x:c r="L298" s="22"/>
      <x:c r="M298" s="22"/>
      <x:c r="N298" s="22"/>
      <x:c r="O298" s="22"/>
      <x:c r="P298" s="22"/>
      <x:c r="Q298" s="22"/>
    </x:row>
    <x:row r="299">
      <x:c r="A299" s="22" t="str">
        <x:f>IF(E299="","","RES-"&amp;TEXT(ROW()-2,"0000"))</x:f>
      </x:c>
      <x:c r="B299" s="22"/>
      <x:c r="C299" s="22"/>
      <x:c r="D299" s="22"/>
      <x:c r="E299" s="22"/>
      <x:c r="F299" s="22"/>
      <x:c r="G299" s="22"/>
      <x:c r="H299" s="26"/>
      <x:c r="I299" s="22"/>
      <x:c r="J299" s="22"/>
      <x:c r="K299" s="22"/>
      <x:c r="L299" s="22"/>
      <x:c r="M299" s="22"/>
      <x:c r="N299" s="22"/>
      <x:c r="O299" s="22"/>
      <x:c r="P299" s="22"/>
      <x:c r="Q299" s="22"/>
    </x:row>
    <x:row r="300">
      <x:c r="A300" s="22" t="str">
        <x:f>IF(E300="","","RES-"&amp;TEXT(ROW()-2,"0000"))</x:f>
      </x:c>
      <x:c r="B300" s="22"/>
      <x:c r="C300" s="22"/>
      <x:c r="D300" s="22"/>
      <x:c r="E300" s="22"/>
      <x:c r="F300" s="22"/>
      <x:c r="G300" s="22"/>
      <x:c r="H300" s="26"/>
      <x:c r="I300" s="22"/>
      <x:c r="J300" s="22"/>
      <x:c r="K300" s="22"/>
      <x:c r="L300" s="22"/>
      <x:c r="M300" s="22"/>
      <x:c r="N300" s="22"/>
      <x:c r="O300" s="22"/>
      <x:c r="P300" s="22"/>
      <x:c r="Q300" s="22"/>
    </x:row>
    <x:row r="301">
      <x:c r="A301" s="22" t="str">
        <x:f>IF(E301="","","RES-"&amp;TEXT(ROW()-2,"0000"))</x:f>
      </x:c>
      <x:c r="B301" s="22"/>
      <x:c r="C301" s="22"/>
      <x:c r="D301" s="22"/>
      <x:c r="E301" s="22"/>
      <x:c r="F301" s="22"/>
      <x:c r="G301" s="22"/>
      <x:c r="H301" s="26"/>
      <x:c r="I301" s="22"/>
      <x:c r="J301" s="22"/>
      <x:c r="K301" s="22"/>
      <x:c r="L301" s="22"/>
      <x:c r="M301" s="22"/>
      <x:c r="N301" s="22"/>
      <x:c r="O301" s="22"/>
      <x:c r="P301" s="22"/>
      <x:c r="Q301" s="22"/>
    </x:row>
    <x:row r="302">
      <x:c r="A302" s="22" t="str">
        <x:f>IF(E302="","","RES-"&amp;TEXT(ROW()-2,"0000"))</x:f>
      </x:c>
      <x:c r="B302" s="22"/>
      <x:c r="C302" s="22"/>
      <x:c r="D302" s="22"/>
      <x:c r="E302" s="22"/>
      <x:c r="F302" s="22"/>
      <x:c r="G302" s="22"/>
      <x:c r="H302" s="26"/>
      <x:c r="I302" s="22"/>
      <x:c r="J302" s="22"/>
      <x:c r="K302" s="22"/>
      <x:c r="L302" s="22"/>
      <x:c r="M302" s="22"/>
      <x:c r="N302" s="22"/>
      <x:c r="O302" s="22"/>
      <x:c r="P302" s="22"/>
      <x:c r="Q302" s="22"/>
    </x:row>
  </x:sheetData>
  <x:mergeCells>
    <x:mergeCell ref="A1:Q1"/>
  </x:mergeCells>
  <x:conditionalFormatting sqref="L3:L30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{7DA64569-990D-21FB-48BF-4FEFB8E2762E}</x14:id>
        </x:ext>
      </x:extLst>
    </x:cfRule>
  </x:conditionalFormatting>
  <x:conditionalFormatting sqref="M3:M302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5">
    <x:dataValidation type="list" sqref="B3:B302">
      <x:formula1>'Маршруты'!$A$3:$A$302</x:formula1>
    </x:dataValidation>
    <x:dataValidation type="list" sqref="F3:F302">
      <x:formula1>'Справочники'!$D$2:$D$6</x:formula1>
    </x:dataValidation>
    <x:dataValidation type="list" sqref="J3:J302">
      <x:formula1>'Справочники'!$M$2:$M$7</x:formula1>
    </x:dataValidation>
    <x:dataValidation type="list" sqref="N3:N302">
      <x:formula1>'Справочники'!$N$2:$N$3</x:formula1>
    </x:dataValidation>
    <x:dataValidation type="list" sqref="N3:P302">
      <x:formula1>'Справочники'!$N$2:$N$3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1c9f7ae28b4d7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DA64569-990D-21FB-48BF-4FEFB8E2762E}">
            <x14:dataBar gradient="1">
              <x14:cfvo type="min"/>
              <x14:cfvo type="max"/>
              <x14:fillColor rgb="FFA02B93"/>
            </x14:dataBar>
          </x14:cfRule>
          <xm:sqref>L3:L302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9" hidden="0" customWidth="1"/>
    <x:col min="4" max="4" width="16" hidden="0" customWidth="1"/>
    <x:col min="5" max="5" width="19" hidden="0" customWidth="1"/>
    <x:col min="6" max="6" width="22" hidden="0" customWidth="1"/>
    <x:col min="7" max="7" width="20" hidden="0" customWidth="1"/>
    <x:col min="8" max="8" width="24" hidden="0" customWidth="1"/>
    <x:col min="9" max="9" width="12" hidden="0" customWidth="1"/>
    <x:col min="10" max="10" width="21" hidden="0" customWidth="1"/>
    <x:col min="11" max="11" width="16" hidden="0" customWidth="1"/>
    <x:col min="12" max="12" width="20" hidden="0" customWidth="1"/>
    <x:col min="13" max="13" width="18" hidden="0" customWidth="1"/>
    <x:col min="14" max="14" width="10" hidden="0" customWidth="1"/>
    <x:col min="15" max="15" width="16" hidden="0" customWidth="1"/>
    <x:col min="16" max="16" width="19" hidden="0" customWidth="1"/>
  </x:cols>
  <x:sheetData>
    <x:row r="1" ht="32" customHeight="1">
      <x:c r="A1" s="6" t="str">
        <x:v>Статус сигнала</x:v>
      </x:c>
      <x:c r="B1" s="6" t="str">
        <x:v>Профиль</x:v>
      </x:c>
      <x:c r="C1" s="6" t="str">
        <x:v>Источник сигнала</x:v>
      </x:c>
      <x:c r="D1" s="6" t="str">
        <x:v>Направление</x:v>
      </x:c>
      <x:c r="E1" s="6" t="str">
        <x:v>Уровень поддержки</x:v>
      </x:c>
      <x:c r="F1" s="6" t="str">
        <x:v>Статус маршрута</x:v>
      </x:c>
      <x:c r="G1" s="6" t="str">
        <x:v>Статус контрольной точки</x:v>
      </x:c>
      <x:c r="H1" s="6" t="str">
        <x:v>Тип возможности</x:v>
      </x:c>
      <x:c r="I1" s="6" t="str">
        <x:v>Приоритет</x:v>
      </x:c>
      <x:c r="J1" s="6" t="str">
        <x:v>Решение по возможности</x:v>
      </x:c>
      <x:c r="K1" s="6" t="str">
        <x:v>Статус пробы</x:v>
      </x:c>
      <x:c r="L1" s="6" t="str">
        <x:v>Статус наставника</x:v>
      </x:c>
      <x:c r="M1" s="6" t="str">
        <x:v>Уровень события</x:v>
      </x:c>
      <x:c r="N1" s="6" t="str">
        <x:v>Да/нет</x:v>
      </x:c>
      <x:c r="O1" s="6" t="str">
        <x:v>Нагрузка</x:v>
      </x:c>
      <x:c r="P1" s="6" t="str">
        <x:v>Статус возможности</x:v>
      </x:c>
    </x:row>
    <x:row r="2">
      <x:c r="A2" s="12" t="str">
        <x:v>Новый</x:v>
      </x:c>
      <x:c r="B2" s="12" t="str">
        <x:v>Да</x:v>
      </x:c>
      <x:c r="C2" s="12" t="str">
        <x:v>Педагогическое наблюдение</x:v>
      </x:c>
      <x:c r="D2" s="12" t="str">
        <x:v>Исследую</x:v>
      </x:c>
      <x:c r="E2" s="12" t="str">
        <x:v>Открытая проба</x:v>
      </x:c>
      <x:c r="F2" s="12" t="str">
        <x:v>К маршрутизации</x:v>
      </x:c>
      <x:c r="G2" s="12" t="str">
        <x:v>Запланирована</x:v>
      </x:c>
      <x:c r="H2" s="12" t="str">
        <x:v>Проба</x:v>
      </x:c>
      <x:c r="I2" s="12" t="str">
        <x:v>P1</x:v>
      </x:c>
      <x:c r="J2" s="12" t="str">
        <x:v>Рекомендовать</x:v>
      </x:c>
      <x:c r="K2" s="12" t="str">
        <x:v>Запланирована</x:v>
      </x:c>
      <x:c r="L2" s="12" t="str">
        <x:v>Доступен</x:v>
      </x:c>
      <x:c r="M2" s="12" t="str">
        <x:v>Школьный</x:v>
      </x:c>
      <x:c r="N2" s="12" t="str">
        <x:v>Да</x:v>
      </x:c>
      <x:c r="O2" t="str">
        <x:v>Низкая</x:v>
      </x:c>
      <x:c r="P2" s="66" t="str">
        <x:v>Новая</x:v>
      </x:c>
    </x:row>
    <x:row r="3">
      <x:c r="A3" s="12" t="str">
        <x:v>На подтверждении</x:v>
      </x:c>
      <x:c r="B3" s="12" t="str">
        <x:v>Нет</x:v>
      </x:c>
      <x:c r="C3" s="12" t="str">
        <x:v>Открытая проба</x:v>
      </x:c>
      <x:c r="D3" s="12" t="str">
        <x:v>Проектирую</x:v>
      </x:c>
      <x:c r="E3" s="12" t="str">
        <x:v>Наблюдение</x:v>
      </x:c>
      <x:c r="F3" s="12" t="str">
        <x:v>Активен</x:v>
      </x:c>
      <x:c r="G3" s="12" t="str">
        <x:v>Состоялась</x:v>
      </x:c>
      <x:c r="H3" s="12" t="str">
        <x:v>Развитие</x:v>
      </x:c>
      <x:c r="I3" s="12" t="str">
        <x:v>P2</x:v>
      </x:c>
      <x:c r="J3" s="12" t="str">
        <x:v>Адресно</x:v>
      </x:c>
      <x:c r="K3" s="12" t="str">
        <x:v>Открыта</x:v>
      </x:c>
      <x:c r="L3" s="12" t="str">
        <x:v>Ограниченно доступен</x:v>
      </x:c>
      <x:c r="M3" s="12" t="str">
        <x:v>Муниципальный</x:v>
      </x:c>
      <x:c r="N3" s="12" t="str">
        <x:v>Нет</x:v>
      </x:c>
      <x:c r="O3" t="str">
        <x:v>Нормальная</x:v>
      </x:c>
      <x:c r="P3" s="66" t="str">
        <x:v>На проверке</x:v>
      </x:c>
    </x:row>
    <x:row r="4">
      <x:c r="A4" s="12" t="str">
        <x:v>Подтверждён</x:v>
      </x:c>
      <x:c r="B4" s="12" t="str">
        <x:v>Не требуется</x:v>
      </x:c>
      <x:c r="C4" s="12" t="str">
        <x:v>Самовыдвижение</x:v>
      </x:c>
      <x:c r="D4" s="12" t="str">
        <x:v>Решаю</x:v>
      </x:c>
      <x:c r="E4" s="12" t="str">
        <x:v>Маршрут</x:v>
      </x:c>
      <x:c r="F4" s="12" t="str">
        <x:v>Нужна корректировка</x:v>
      </x:c>
      <x:c r="G4" s="12" t="str">
        <x:v>Перенесена</x:v>
      </x:c>
      <x:c r="H4" s="12" t="str">
        <x:v>Экспертиза</x:v>
      </x:c>
      <x:c r="I4" s="12" t="str">
        <x:v>P3</x:v>
      </x:c>
      <x:c r="J4" s="12" t="str">
        <x:v>Информационно</x:v>
      </x:c>
      <x:c r="K4" s="12" t="str">
        <x:v>Проведена</x:v>
      </x:c>
      <x:c r="L4" s="12" t="str">
        <x:v>Лимит достигнут</x:v>
      </x:c>
      <x:c r="M4" s="12" t="str">
        <x:v>Региональный</x:v>
      </x:c>
      <x:c r="N4" s="12"/>
      <x:c r="O4" t="str">
        <x:v>Высокая</x:v>
      </x:c>
      <x:c r="P4" s="66" t="str">
        <x:v>Одобрена</x:v>
      </x:c>
    </x:row>
    <x:row r="5">
      <x:c r="A5" s="12" t="str">
        <x:v>Не подтверждён</x:v>
      </x:c>
      <x:c r="B5" s="12"/>
      <x:c r="C5" s="12" t="str">
        <x:v>Родитель</x:v>
      </x:c>
      <x:c r="D5" s="12" t="str">
        <x:v>Объясняю</x:v>
      </x:c>
      <x:c r="E5" s="12" t="str">
        <x:v>Интенсив</x:v>
      </x:c>
      <x:c r="F5" s="12" t="str">
        <x:v>На паузе</x:v>
      </x:c>
      <x:c r="G5" s="12" t="str">
        <x:v>Просрочена</x:v>
      </x:c>
      <x:c r="H5" s="12" t="str">
        <x:v>Соревнование</x:v>
      </x:c>
      <x:c r="I5" s="12" t="str">
        <x:v>P4</x:v>
      </x:c>
      <x:c r="J5" s="12" t="str">
        <x:v>Не продвигать</x:v>
      </x:c>
      <x:c r="K5" s="12" t="str">
        <x:v>Отменена</x:v>
      </x:c>
      <x:c r="L5" s="12" t="str">
        <x:v>Неактивен</x:v>
      </x:c>
      <x:c r="M5" s="12" t="str">
        <x:v>Федеральный</x:v>
      </x:c>
      <x:c r="N5" s="12"/>
      <x:c r="O5" t="str">
        <x:v>Чрезмерная</x:v>
      </x:c>
      <x:c r="P5" s="66" t="str">
        <x:v>Опубликована</x:v>
      </x:c>
    </x:row>
    <x:row r="6">
      <x:c r="A6" s="12" t="str">
        <x:v>Закрыт</x:v>
      </x:c>
      <x:c r="B6" s="12"/>
      <x:c r="C6" s="12" t="str">
        <x:v>Портфолио/продукт</x:v>
      </x:c>
      <x:c r="D6" s="12" t="str">
        <x:v>Сочетание</x:v>
      </x:c>
      <x:c r="E6" s="12" t="str">
        <x:v>Ученик-наставник</x:v>
      </x:c>
      <x:c r="F6" s="12" t="str">
        <x:v>Завершён</x:v>
      </x:c>
      <x:c r="G6" s="12" t="str">
        <x:v>Отменена</x:v>
      </x:c>
      <x:c r="H6" s="12" t="str">
        <x:v>Ресурс</x:v>
      </x:c>
      <x:c r="I6" s="12"/>
      <x:c r="J6" s="12" t="str">
        <x:v>На проверке</x:v>
      </x:c>
      <x:c r="K6" s="12"/>
      <x:c r="L6" s="12"/>
      <x:c r="M6" s="12" t="str">
        <x:v>Международный</x:v>
      </x:c>
      <x:c r="N6" s="12"/>
      <x:c r="P6" s="66" t="str">
        <x:v>Архив</x:v>
      </x:c>
    </x:row>
    <x:row r="7">
      <x:c r="A7" s="12"/>
      <x:c r="B7" s="12"/>
      <x:c r="C7" s="12" t="str">
        <x:v>Внешний результат</x:v>
      </x:c>
      <x:c r="D7" s="12"/>
      <x:c r="E7" s="12"/>
      <x:c r="F7" s="12" t="str">
        <x:v>Закрыт без продукта</x:v>
      </x:c>
      <x:c r="G7" s="12"/>
      <x:c r="H7" s="12" t="str">
        <x:v>Публикация/внедрение</x:v>
      </x:c>
      <x:c r="I7" s="12"/>
      <x:c r="J7" s="12"/>
      <x:c r="K7" s="12"/>
      <x:c r="L7" s="12"/>
      <x:c r="M7" s="12" t="str">
        <x:v>Без уровня</x:v>
      </x:c>
      <x:c r="N7" s="12"/>
    </x:row>
    <x:row r="8">
      <x:c r="A8" s="12"/>
      <x:c r="B8" s="12"/>
      <x:c r="C8" s="12" t="str">
        <x:v>Психолого-педагогический сигнал</x:v>
      </x:c>
      <x:c r="D8" s="12"/>
      <x:c r="E8" s="12"/>
      <x:c r="F8" s="12"/>
      <x:c r="G8" s="12"/>
      <x:c r="H8" s="12" t="str">
        <x:v>Профессиональная проба</x:v>
      </x:c>
      <x:c r="I8" s="12"/>
      <x:c r="J8" s="12"/>
      <x:c r="K8" s="12"/>
      <x:c r="L8" s="12"/>
      <x:c r="M8" s="12"/>
      <x:c r="N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8" hidden="0" customWidth="1"/>
    <x:col min="5" max="5" width="30" hidden="0" customWidth="1"/>
    <x:col min="6" max="6" width="30" hidden="0" customWidth="1"/>
    <x:col min="7" max="7" width="28" hidden="0" customWidth="1"/>
    <x:col min="8" max="8" width="26" hidden="0" customWidth="1"/>
  </x:cols>
  <x:sheetData>
    <x:row r="1" ht="30" customHeight="1">
      <x:c r="A1" s="16" t="str">
        <x:v>КАК РАБОТАТЬ С РЕЕСТРОМ «ВЕКТОР 20»</x:v>
      </x:c>
      <x:c r="B1" s="16"/>
      <x:c r="C1" s="16"/>
      <x:c r="D1" s="16"/>
      <x:c r="E1" s="16"/>
      <x:c r="F1" s="16"/>
      <x:c r="G1" s="16"/>
      <x:c r="H1" s="16"/>
    </x:row>
    <x:row r="2">
      <x:c r="A2" s="33" t="str">
        <x:v>Реестр предназначен для оперативного сопровождения и мониторинга. Он не является публичным рейтингом детей и педагогов. Доступ к рабочим листам предоставляется по ролям; публичные отчёты формируются из агрегированных показателей панели.</x:v>
      </x:c>
      <x:c r="B2" s="33"/>
      <x:c r="C2" s="33"/>
      <x:c r="D2" s="33"/>
      <x:c r="E2" s="33"/>
      <x:c r="F2" s="33"/>
      <x:c r="G2" s="33"/>
      <x:c r="H2" s="33"/>
    </x:row>
    <x:row r="3">
      <x:c r="A3" s="33"/>
      <x:c r="B3" s="33"/>
      <x:c r="C3" s="33"/>
      <x:c r="D3" s="33"/>
      <x:c r="E3" s="33"/>
      <x:c r="F3" s="33"/>
      <x:c r="G3" s="33"/>
      <x:c r="H3" s="33"/>
    </x:row>
    <x:row r="5" ht="32" customHeight="1">
      <x:c r="A5" s="6" t="str">
        <x:v>Шаг</x:v>
      </x:c>
      <x:c r="B5" s="6" t="str">
        <x:v>Лист</x:v>
      </x:c>
      <x:c r="C5" s="6" t="str">
        <x:v>Кто заполняет</x:v>
      </x:c>
      <x:c r="D5" s="6" t="str">
        <x:v>Когда</x:v>
      </x:c>
      <x:c r="E5" s="6" t="str">
        <x:v>Минимум полей</x:v>
      </x:c>
      <x:c r="F5" s="6" t="str">
        <x:v>Что происходит дальше</x:v>
      </x:c>
      <x:c r="G5" s="6" t="str">
        <x:v>Проверка качества</x:v>
      </x:c>
      <x:c r="H5" s="6" t="str">
        <x:v>Запрет</x:v>
      </x:c>
    </x:row>
    <x:row r="6">
      <x:c r="A6" s="22" t="str">
        <x:v>1</x:v>
      </x:c>
      <x:c r="B6" s="22" t="str">
        <x:v>Сигналы</x:v>
      </x:c>
      <x:c r="C6" s="22" t="str">
        <x:v>Педагог / координатор</x:v>
      </x:c>
      <x:c r="D6" s="22" t="str">
        <x:v>После наблюдения, заявки, пробы</x:v>
      </x:c>
      <x:c r="E6" s="22" t="str">
        <x:v>Дата, ученик, источник, факт, статус, следующий шаг</x:v>
      </x:c>
      <x:c r="F6" s="22" t="str">
        <x:v>Подтверждающая проба или закрытие</x:v>
      </x:c>
      <x:c r="G6" s="22" t="str">
        <x:v>Есть конкретное действие, не ярлык</x:v>
      </x:c>
      <x:c r="H6" s="22" t="str">
        <x:v>Не номинировать ради квоты</x:v>
      </x:c>
    </x:row>
    <x:row r="7">
      <x:c r="A7" s="22" t="str">
        <x:v>2</x:v>
      </x:c>
      <x:c r="B7" s="22" t="str">
        <x:v>Пробы</x:v>
      </x:c>
      <x:c r="C7" s="22" t="str">
        <x:v>Ответственный за пробу</x:v>
      </x:c>
      <x:c r="D7" s="22" t="str">
        <x:v>До и после проведения</x:v>
      </x:c>
      <x:c r="E7" s="22" t="str">
        <x:v>Название, возраст, направление, дата, участники, сигналы</x:v>
      </x:c>
      <x:c r="F7" s="22" t="str">
        <x:v>Анализ охвата и конверсии</x:v>
      </x:c>
      <x:c r="G7" s="22" t="str">
        <x:v>Есть выбор стратегии и рефлексия</x:v>
      </x:c>
      <x:c r="H7" s="22" t="str">
        <x:v>Не считать лекцию пробой</x:v>
      </x:c>
    </x:row>
    <x:row r="8">
      <x:c r="A8" s="22" t="str">
        <x:v>3</x:v>
      </x:c>
      <x:c r="B8" s="22" t="str">
        <x:v>Маршруты</x:v>
      </x:c>
      <x:c r="C8" s="22" t="str">
        <x:v>Координатор + наставник</x:v>
      </x:c>
      <x:c r="D8" s="22" t="str">
        <x:v>После маршрутизации</x:v>
      </x:c>
      <x:c r="E8" s="22" t="str">
        <x:v>Цель, продукт, наставник, сроки, статус, точки</x:v>
      </x:c>
      <x:c r="F8" s="22" t="str">
        <x:v>Работа 8–16 недель</x:v>
      </x:c>
      <x:c r="G8" s="22" t="str">
        <x:v>Цель понятна ребёнку; лимит наставника</x:v>
      </x:c>
      <x:c r="H8" s="22" t="str">
        <x:v>Не начинать с выбора конкурса</x:v>
      </x:c>
    </x:row>
    <x:row r="9">
      <x:c r="A9" s="22" t="str">
        <x:v>4</x:v>
      </x:c>
      <x:c r="B9" s="22" t="str">
        <x:v>Контрольные точки</x:v>
      </x:c>
      <x:c r="C9" s="22" t="str">
        <x:v>Наставник</x:v>
      </x:c>
      <x:c r="D9" s="22" t="str">
        <x:v>Каждые 2–4 недели</x:v>
      </x:c>
      <x:c r="E9" s="22" t="str">
        <x:v>План, факт, решение, следующий шаг, нагрузка</x:v>
      </x:c>
      <x:c r="F9" s="22" t="str">
        <x:v>Корректировка статуса и сроков</x:v>
      </x:c>
      <x:c r="G9" s="22" t="str">
        <x:v>Показан фактический результат</x:v>
      </x:c>
      <x:c r="H9" s="22" t="str">
        <x:v>Не писать длинный протокол</x:v>
      </x:c>
    </x:row>
    <x:row r="10">
      <x:c r="A10" s="22" t="str">
        <x:v>5</x:v>
      </x:c>
      <x:c r="B10" s="22" t="str">
        <x:v>Возможности</x:v>
      </x:c>
      <x:c r="C10" s="22" t="str">
        <x:v>Координатор + эксперт</x:v>
      </x:c>
      <x:c r="D10" s="22" t="str">
        <x:v>После поступления предложения</x:v>
      </x:c>
      <x:c r="E10" s="22" t="str">
        <x:v>Карточка, 8 оценок, категория, решение</x:v>
      </x:c>
      <x:c r="F10" s="22" t="str">
        <x:v>Адресное информирование</x:v>
      </x:c>
      <x:c r="G10" s="22" t="str">
        <x:v>Проверены данные, нагрузка, экспертиза</x:v>
      </x:c>
      <x:c r="H10" s="22" t="str">
        <x:v>Не рассылать всё подряд</x:v>
      </x:c>
    </x:row>
    <x:row r="11">
      <x:c r="A11" s="22" t="str">
        <x:v>6</x:v>
      </x:c>
      <x:c r="B11" s="22" t="str">
        <x:v>Результаты</x:v>
      </x:c>
      <x:c r="C11" s="22" t="str">
        <x:v>Наставник / координатор</x:v>
      </x:c>
      <x:c r="D11" s="22" t="str">
        <x:v>После представления/завершения</x:v>
      </x:c>
      <x:c r="E11" s="22" t="str">
        <x:v>Продукт, оценка, самостоятельность, следующий шаг</x:v>
      </x:c>
      <x:c r="F11" s="22" t="str">
        <x:v>Портфолио и аналитика</x:v>
      </x:c>
      <x:c r="G11" s="22" t="str">
        <x:v>Есть подтверждение авторства</x:v>
      </x:c>
      <x:c r="H11" s="22" t="str">
        <x:v>Не сводить результат к диплому</x:v>
      </x:c>
    </x:row>
    <x:row r="12">
      <x:c r="A12" s="22" t="str">
        <x:v>7</x:v>
      </x:c>
      <x:c r="B12" s="22" t="str">
        <x:v>Наставники</x:v>
      </x:c>
      <x:c r="C12" s="22" t="str">
        <x:v>Координатор</x:v>
      </x:c>
      <x:c r="D12" s="22" t="str">
        <x:v>При формировании пула и изменении нагрузки</x:v>
      </x:c>
      <x:c r="E12" s="22" t="str">
        <x:v>Ф.И.О., область, лимит, доступность</x:v>
      </x:c>
      <x:c r="F12" s="22" t="str">
        <x:v>Автоматический контроль нагрузки</x:v>
      </x:c>
      <x:c r="G12" s="22" t="str">
        <x:v>Перегрузка устраняется решением</x:v>
      </x:c>
      <x:c r="H12" s="22" t="str">
        <x:v>Не скрывать лишние маршруты</x:v>
      </x:c>
    </x:row>
    <x:row r="14" ht="32" customHeight="1">
      <x:c r="A14" s="6" t="str">
        <x:v>ЕЖЕМЕСЯЧНЫЙ ЦИКЛ КООРДИНАТОРА</x:v>
      </x:c>
      <x:c r="B14" s="6"/>
      <x:c r="C14" s="6"/>
      <x:c r="D14" s="6"/>
      <x:c r="E14" s="6"/>
      <x:c r="F14" s="6"/>
      <x:c r="G14" s="6"/>
      <x:c r="H14" s="6"/>
    </x:row>
    <x:row r="15">
      <x:c r="A15" s="42" t="str">
        <x:v>1-я неделя</x:v>
      </x:c>
      <x:c r="B15" s="42" t="str">
        <x:v>Проверить новые сигналы и сроки реакции</x:v>
      </x:c>
      <x:c r="C15" s="42" t="str">
        <x:v>Сигналы, Панель</x:v>
      </x:c>
      <x:c r="D15" s="42" t="str">
        <x:v>Нет записей без ответственного и следующего шага</x:v>
      </x:c>
    </x:row>
    <x:row r="16">
      <x:c r="A16" s="22" t="str">
        <x:v>2-я неделя</x:v>
      </x:c>
      <x:c r="B16" s="22" t="str">
        <x:v>Проверить активные маршруты и нагрузку наставников</x:v>
      </x:c>
      <x:c r="C16" s="22" t="str">
        <x:v>Маршруты, Наставники</x:v>
      </x:c>
      <x:c r="D16" s="22" t="str">
        <x:v>Нет перегрузки и просроченных точек без решения</x:v>
      </x:c>
    </x:row>
    <x:row r="17">
      <x:c r="A17" s="22" t="str">
        <x:v>3-я неделя</x:v>
      </x:c>
      <x:c r="B17" s="22" t="str">
        <x:v>Обновить банк возможностей и дедлайны</x:v>
      </x:c>
      <x:c r="C17" s="22" t="str">
        <x:v>Возможности</x:v>
      </x:c>
      <x:c r="D17" s="22" t="str">
        <x:v>Актуальные карточки A/B; закрытые перенесены в архив</x:v>
      </x:c>
    </x:row>
    <x:row r="18">
      <x:c r="A18" s="22" t="str">
        <x:v>4-я неделя</x:v>
      </x:c>
      <x:c r="B18" s="22" t="str">
        <x:v>Провести координационный час и зафиксировать решения</x:v>
      </x:c>
      <x:c r="C18" s="22" t="str">
        <x:v>Панель, Контрольные точки</x:v>
      </x:c>
      <x:c r="D18" s="22" t="str">
        <x:v>Не отчёт, а 3–7 решений с ответственными</x:v>
      </x:c>
    </x:row>
    <x:row r="20" ht="32" customHeight="1">
      <x:c r="A20" s="6" t="str">
        <x:v>КОНТРОЛЬ ДОСТУПА И ДАННЫХ</x:v>
      </x:c>
      <x:c r="B20" s="6"/>
      <x:c r="C20" s="6"/>
      <x:c r="D20" s="6"/>
      <x:c r="E20" s="6"/>
      <x:c r="F20" s="6"/>
      <x:c r="G20" s="6"/>
      <x:c r="H20" s="6"/>
    </x:row>
    <x:row r="21">
      <x:c r="A21" s="42" t="str">
        <x:v>Рабочий доступ</x:v>
      </x:c>
      <x:c r="B21" s="22" t="str">
        <x:v>Координатор, куратор, уполномоченные предметные координаторы; наставник видит только необходимые маршруты</x:v>
      </x:c>
    </x:row>
    <x:row r="22">
      <x:c r="A22" s="42" t="str">
        <x:v>Публичная аналитика</x:v>
      </x:c>
      <x:c r="B22" s="22" t="str">
        <x:v>Только агрегированные показатели без профилей, рабочих оценок и чувствительных сведений</x:v>
      </x:c>
    </x:row>
    <x:row r="23">
      <x:c r="A23" s="42" t="str">
        <x:v>Ссылки</x:v>
      </x:c>
      <x:c r="B23" s="22" t="str">
        <x:v>Использовать утверждённую школьную среду; не хранить единственные копии в личных аккаунтах</x:v>
      </x:c>
    </x:row>
    <x:row r="24">
      <x:c r="A24" s="42" t="str">
        <x:v>Публикация</x:v>
      </x:c>
      <x:c r="B24" s="22" t="str">
        <x:v>Проверить правовое основание, объём согласия, авторство и данные третьих лиц</x:v>
      </x:c>
    </x:row>
    <x:row r="25">
      <x:c r="A25" s="42" t="str">
        <x:v>Хранение</x:v>
      </x:c>
      <x:c r="B25" s="22" t="str">
        <x:v>Срок и порядок определяются локальными актами и номенклатурой; ежегодно закрывать и архивировать записи</x:v>
      </x:c>
    </x:row>
    <x:row r="26">
      <x:c r="A26" s="42" t="str">
        <x:v>Язык записей</x:v>
      </x:c>
      <x:c r="B26" s="22" t="str">
        <x:v>Только факты и решения: без ярлыков, диагнозов и уничижительных характеристик</x:v>
      </x:c>
    </x:row>
    <x:row r="28" ht="32" customHeight="1">
      <x:c r="A28" s="6" t="str">
        <x:v>НАСТРОЙКА НА НОВЫЙ УЧЕБНЫЙ ГОД</x:v>
      </x:c>
      <x:c r="B28" s="6"/>
      <x:c r="C28" s="6"/>
      <x:c r="D28" s="6"/>
      <x:c r="E28" s="6"/>
      <x:c r="F28" s="6"/>
      <x:c r="G28" s="6"/>
      <x:c r="H28" s="6"/>
    </x:row>
    <x:row r="29">
      <x:c r="A29" s="22" t="str">
        <x:v>1</x:v>
      </x:c>
      <x:c r="B29" s="22" t="str">
        <x:v>Сохранить архивную копию завершённого года с ограниченным доступом</x:v>
      </x:c>
    </x:row>
    <x:row r="30">
      <x:c r="A30" s="22" t="str">
        <x:v>2</x:v>
      </x:c>
      <x:c r="B30" s="22" t="str">
        <x:v>Проверить статусы: каждый сигнал и маршрут должен иметь итоговое решение</x:v>
      </x:c>
    </x:row>
    <x:row r="31">
      <x:c r="A31" s="22" t="str">
        <x:v>3</x:v>
      </x:c>
      <x:c r="B31" s="22" t="str">
        <x:v>Очистить только рабочие строки нового файла, не удаляя формулы, справочники и проверки</x:v>
      </x:c>
    </x:row>
    <x:row r="32">
      <x:c r="A32" s="22" t="str">
        <x:v>4</x:v>
      </x:c>
      <x:c r="B32" s="22" t="str">
        <x:v>Обновить пул наставников, лимиты, ответственных и контакты</x:v>
      </x:c>
    </x:row>
    <x:row r="33">
      <x:c r="A33" s="22" t="str">
        <x:v>5</x:v>
      </x:c>
      <x:c r="B33" s="22" t="str">
        <x:v>Проверить категории и формулировки в листе «Справочники»</x:v>
      </x:c>
    </x:row>
    <x:row r="34">
      <x:c r="A34" s="22" t="str">
        <x:v>6</x:v>
      </x:c>
      <x:c r="B34" s="22" t="str">
        <x:v>Обновить годовые ориентиры в локальных документах и плане</x:v>
      </x:c>
    </x:row>
    <x:row r="35">
      <x:c r="A35" s="22" t="str">
        <x:v>7</x:v>
      </x:c>
      <x:c r="B35" s="22" t="str">
        <x:v>Провести тест: одна пробная запись в каждом листе и проверка Панели</x:v>
      </x:c>
    </x:row>
    <x:row r="36">
      <x:c r="A36" s="22" t="str">
        <x:v>8</x:v>
      </x:c>
      <x:c r="B36" s="22" t="str">
        <x:v>Удалить тестовые записи до начала реальной работы</x:v>
      </x:c>
    </x:row>
    <x:row r="38" ht="32" customHeight="1">
      <x:c r="A38" s="6" t="str">
        <x:v>БЫСТРАЯ ПРОВЕРКА ПЕРЕД ПЕДСОВЕТОМ</x:v>
      </x:c>
      <x:c r="B38" s="6"/>
      <x:c r="C38" s="6"/>
      <x:c r="D38" s="6"/>
      <x:c r="E38" s="6"/>
      <x:c r="F38" s="6"/>
      <x:c r="G38" s="6"/>
      <x:c r="H38" s="6"/>
    </x:row>
    <x:row r="39">
      <x:c r="A39" s="22" t="str">
        <x:v>Сколько классов реально получили пробу, а не только ссылку?</x:v>
      </x:c>
    </x:row>
    <x:row r="40">
      <x:c r="A40" s="22" t="str">
        <x:v>Какие способы входа кроме рекомендации учителя сработали?</x:v>
      </x:c>
    </x:row>
    <x:row r="41">
      <x:c r="A41" s="22" t="str">
        <x:v>Есть ли предметные области, где нет ни сигналов, ни проб?</x:v>
      </x:c>
    </x:row>
    <x:row r="42">
      <x:c r="A42" s="22" t="str">
        <x:v>Сколько маршрутов без контрольной точки за 30 дней?</x:v>
      </x:c>
    </x:row>
    <x:row r="43">
      <x:c r="A43" s="22" t="str">
        <x:v>Кто из наставников близок к лимиту или перегружен?</x:v>
      </x:c>
    </x:row>
    <x:row r="44">
      <x:c r="A44" s="22" t="str">
        <x:v>Какие внешние события категории C всё ещё продвигаются?</x:v>
      </x:c>
    </x:row>
    <x:row r="45">
      <x:c r="A45" s="22" t="str">
        <x:v>Сколько маршрутов завершены продуктом, отрицательным результатом или осознанной корректировкой?</x:v>
      </x:c>
    </x:row>
    <x:row r="46">
      <x:c r="A46" s="22" t="str">
        <x:v>Могут ли дети объяснить свой вклад и использование ИИ?</x:v>
      </x:c>
    </x:row>
    <x:row r="47">
      <x:c r="A47" s="22" t="str">
        <x:v>Какие три управленческих решения нужны на следующий период?</x:v>
      </x:c>
    </x:row>
  </x:sheetData>
  <x:mergeCells>
    <x:mergeCell ref="A1:H1"/>
    <x:mergeCell ref="A2:H3"/>
    <x:mergeCell ref="A14:H14"/>
    <x:mergeCell ref="A20:H20"/>
    <x:mergeCell ref="A28:H28"/>
    <x:mergeCell ref="A38:H38"/>
  </x:mergeCells>
  <x:pageMargins left="0.7" right="0.7" top="0.75" bottom="0.75" header="0.3" footer="0.3"/>
</x:worksheet>
</file>